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ifa\Downloads\"/>
    </mc:Choice>
  </mc:AlternateContent>
  <xr:revisionPtr revIDLastSave="0" documentId="13_ncr:1_{03F40506-C301-4C86-B1CB-02E34C8CD5B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tail1" sheetId="5" r:id="rId1"/>
    <sheet name="Sheet3" sheetId="7" r:id="rId2"/>
    <sheet name="Sheet2" sheetId="6" r:id="rId3"/>
    <sheet name="Sheet1" sheetId="4" r:id="rId4"/>
    <sheet name="Retail Data" sheetId="1" r:id="rId5"/>
    <sheet name="Data Dictionary" sheetId="2" r:id="rId6"/>
    <sheet name="Business Questions" sheetId="3" r:id="rId7"/>
  </sheets>
  <definedNames>
    <definedName name="_xlcn.WorksheetConnection_retail_operations_starter.xlsxRetailTransactions1" hidden="1">RetailTransactions[]</definedName>
    <definedName name="ExternalData_1" localSheetId="1" hidden="1">Sheet3!$A$3:$N$177</definedName>
  </definedNames>
  <calcPr calcId="191029"/>
  <pivotCaches>
    <pivotCache cacheId="0" r:id="rId8"/>
    <pivotCache cacheId="148" r:id="rId9"/>
  </pivotCaches>
  <extLst>
    <ext xmlns:x15="http://schemas.microsoft.com/office/spreadsheetml/2010/11/main" uri="{FCE2AD5D-F65C-4FA6-A056-5C36A1767C68}">
      <x15:dataModel>
        <x15:modelTables>
          <x15:modelTable id="RetailTransactions" name="RetailTransactions" connection="WorksheetConnection_retail_operations_starter.xlsx!Retail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5491C7-6CDD-4D95-966B-19A9AEBCDA77}" keepAlive="1" name="ModelConnection_ExternalData_1" description="Data Model" type="5" refreshedVersion="8" minRefreshableVersion="5" saveData="1">
    <dbPr connection="Data Model Connection" command="DRILLTHROUGH MAXROWS 1000 SELECT FROM [Model] WHERE (([Measures].[Sum of Quantity],[RetailTransactions].[Category].&amp;[Frozen])) RETURN [$RetailTransactions].[Transaction ID],[$RetailTransactions].[Date],[$RetailTransactions].[Time],[$RetailTransactions].[Day],[$RetailTransactions].[Product],[$RetailTransactions].[Category],[$RetailTransactions].[Quantity],[$RetailTransactions].[Unit Price (£)],[$RetailTransactions].[Promotion],[$RetailTransactions].[Stock Before Sale],[$RetailTransactions].[Waste Quantity],[$RetailTransactions].[Staff on Shift],[$RetailTransactions].[Checkout Wait (mins)],[$RetailTransactions].[Revenue (£)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5E03832E-609B-48A8-A641-28279E867E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5021492-6CB7-403A-8804-9622E9988401}" name="WorksheetConnection_retail_operations_starter.xlsx!RetailTransactions" type="102" refreshedVersion="8" minRefreshableVersion="5">
    <extLst>
      <ext xmlns:x15="http://schemas.microsoft.com/office/spreadsheetml/2010/11/main" uri="{DE250136-89BD-433C-8126-D09CA5730AF9}">
        <x15:connection id="RetailTransactions" autoDelete="1">
          <x15:rangePr sourceName="_xlcn.WorksheetConnection_retail_operations_starter.xlsxRetailTransactions1"/>
        </x15:connection>
      </ext>
    </extLst>
  </connection>
</connections>
</file>

<file path=xl/sharedStrings.xml><?xml version="1.0" encoding="utf-8"?>
<sst xmlns="http://schemas.openxmlformats.org/spreadsheetml/2006/main" count="9211" uniqueCount="1278">
  <si>
    <t>Transaction ID</t>
  </si>
  <si>
    <t>Date</t>
  </si>
  <si>
    <t>Time</t>
  </si>
  <si>
    <t>Day</t>
  </si>
  <si>
    <t>Product</t>
  </si>
  <si>
    <t>Category</t>
  </si>
  <si>
    <t>Quantity</t>
  </si>
  <si>
    <t>Unit Price (£)</t>
  </si>
  <si>
    <t>Promotion</t>
  </si>
  <si>
    <t>Stock Before Sale</t>
  </si>
  <si>
    <t>Waste Quantity</t>
  </si>
  <si>
    <t>Staff on Shift</t>
  </si>
  <si>
    <t>Checkout Wait (mins)</t>
  </si>
  <si>
    <t>Revenue (£)</t>
  </si>
  <si>
    <t>T00001</t>
  </si>
  <si>
    <t>16:35</t>
  </si>
  <si>
    <t>Wednesday</t>
  </si>
  <si>
    <t>Cola 2L</t>
  </si>
  <si>
    <t>Drinks</t>
  </si>
  <si>
    <t>No</t>
  </si>
  <si>
    <t>T00002</t>
  </si>
  <si>
    <t>16:10</t>
  </si>
  <si>
    <t>Tuesday</t>
  </si>
  <si>
    <t>Bananas</t>
  </si>
  <si>
    <t>Fresh Produce</t>
  </si>
  <si>
    <t>T00003</t>
  </si>
  <si>
    <t>13:25</t>
  </si>
  <si>
    <t>Sunday</t>
  </si>
  <si>
    <t>Kitchen Roll</t>
  </si>
  <si>
    <t>Household</t>
  </si>
  <si>
    <t>Yes</t>
  </si>
  <si>
    <t>T00004</t>
  </si>
  <si>
    <t>21:25</t>
  </si>
  <si>
    <t>Monday</t>
  </si>
  <si>
    <t>Tomatoes</t>
  </si>
  <si>
    <t>T00005</t>
  </si>
  <si>
    <t>12:10</t>
  </si>
  <si>
    <t>Thursday</t>
  </si>
  <si>
    <t>Cheddar Cheese</t>
  </si>
  <si>
    <t>Dairy</t>
  </si>
  <si>
    <t>T00006</t>
  </si>
  <si>
    <t>15:40</t>
  </si>
  <si>
    <t>White Bread</t>
  </si>
  <si>
    <t>Bakery</t>
  </si>
  <si>
    <t>T00007</t>
  </si>
  <si>
    <t>13:00</t>
  </si>
  <si>
    <t>Apples</t>
  </si>
  <si>
    <t>T00008</t>
  </si>
  <si>
    <t>17:40</t>
  </si>
  <si>
    <t>Ice Cream</t>
  </si>
  <si>
    <t>Frozen</t>
  </si>
  <si>
    <t>T00009</t>
  </si>
  <si>
    <t>11:50</t>
  </si>
  <si>
    <t>T00010</t>
  </si>
  <si>
    <t>11:00</t>
  </si>
  <si>
    <t>T00011</t>
  </si>
  <si>
    <t>17:45</t>
  </si>
  <si>
    <t>Chocolate Cookies</t>
  </si>
  <si>
    <t>T00012</t>
  </si>
  <si>
    <t>12:05</t>
  </si>
  <si>
    <t>Bin Bags</t>
  </si>
  <si>
    <t>T00013</t>
  </si>
  <si>
    <t>18:25</t>
  </si>
  <si>
    <t>Frozen Pizza</t>
  </si>
  <si>
    <t>T00014</t>
  </si>
  <si>
    <t>07:40</t>
  </si>
  <si>
    <t>Saturday</t>
  </si>
  <si>
    <t>T00015</t>
  </si>
  <si>
    <t>16:55</t>
  </si>
  <si>
    <t>Croissants</t>
  </si>
  <si>
    <t>T00016</t>
  </si>
  <si>
    <t>17:10</t>
  </si>
  <si>
    <t>Friday</t>
  </si>
  <si>
    <t>T00017</t>
  </si>
  <si>
    <t>10:25</t>
  </si>
  <si>
    <t>T00018</t>
  </si>
  <si>
    <t>T00019</t>
  </si>
  <si>
    <t>12:30</t>
  </si>
  <si>
    <t>Milk 2L</t>
  </si>
  <si>
    <t>T00020</t>
  </si>
  <si>
    <t>16:45</t>
  </si>
  <si>
    <t>T00021</t>
  </si>
  <si>
    <t>11:30</t>
  </si>
  <si>
    <t>T00022</t>
  </si>
  <si>
    <t>14:00</t>
  </si>
  <si>
    <t>Bottled Water 6pk</t>
  </si>
  <si>
    <t>T00023</t>
  </si>
  <si>
    <t>19:00</t>
  </si>
  <si>
    <t>T00024</t>
  </si>
  <si>
    <t>14:40</t>
  </si>
  <si>
    <t>T00025</t>
  </si>
  <si>
    <t>12:20</t>
  </si>
  <si>
    <t>T00026</t>
  </si>
  <si>
    <t>12:00</t>
  </si>
  <si>
    <t>T00027</t>
  </si>
  <si>
    <t>16:05</t>
  </si>
  <si>
    <t>T00028</t>
  </si>
  <si>
    <t>21:40</t>
  </si>
  <si>
    <t>T00029</t>
  </si>
  <si>
    <t>16:15</t>
  </si>
  <si>
    <t>T00030</t>
  </si>
  <si>
    <t>14:20</t>
  </si>
  <si>
    <t>T00031</t>
  </si>
  <si>
    <t>08:50</t>
  </si>
  <si>
    <t>T00032</t>
  </si>
  <si>
    <t>12:55</t>
  </si>
  <si>
    <t>Orange Juice</t>
  </si>
  <si>
    <t>T00033</t>
  </si>
  <si>
    <t>14:55</t>
  </si>
  <si>
    <t>T00034</t>
  </si>
  <si>
    <t>17:25</t>
  </si>
  <si>
    <t>T00035</t>
  </si>
  <si>
    <t>20:55</t>
  </si>
  <si>
    <t>T00036</t>
  </si>
  <si>
    <t>17:35</t>
  </si>
  <si>
    <t>Washing Liquid</t>
  </si>
  <si>
    <t>T00037</t>
  </si>
  <si>
    <t>18:15</t>
  </si>
  <si>
    <t>T00038</t>
  </si>
  <si>
    <t>10:40</t>
  </si>
  <si>
    <t>Frozen Chips</t>
  </si>
  <si>
    <t>T00039</t>
  </si>
  <si>
    <t>12:45</t>
  </si>
  <si>
    <t>T00040</t>
  </si>
  <si>
    <t>18:20</t>
  </si>
  <si>
    <t>Greek Yogurt</t>
  </si>
  <si>
    <t>T00041</t>
  </si>
  <si>
    <t>T00042</t>
  </si>
  <si>
    <t>11:25</t>
  </si>
  <si>
    <t>T00043</t>
  </si>
  <si>
    <t>19:20</t>
  </si>
  <si>
    <t>T00044</t>
  </si>
  <si>
    <t>19:45</t>
  </si>
  <si>
    <t>T00045</t>
  </si>
  <si>
    <t>20:45</t>
  </si>
  <si>
    <t>T00046</t>
  </si>
  <si>
    <t>T00047</t>
  </si>
  <si>
    <t>13:50</t>
  </si>
  <si>
    <t>T00048</t>
  </si>
  <si>
    <t>T00049</t>
  </si>
  <si>
    <t>T00050</t>
  </si>
  <si>
    <t>T00051</t>
  </si>
  <si>
    <t>18:30</t>
  </si>
  <si>
    <t>T00052</t>
  </si>
  <si>
    <t>17:50</t>
  </si>
  <si>
    <t>T00053</t>
  </si>
  <si>
    <t>T00054</t>
  </si>
  <si>
    <t>14:15</t>
  </si>
  <si>
    <t>T00055</t>
  </si>
  <si>
    <t>T00056</t>
  </si>
  <si>
    <t>14:50</t>
  </si>
  <si>
    <t>T00057</t>
  </si>
  <si>
    <t>08:55</t>
  </si>
  <si>
    <t>T00058</t>
  </si>
  <si>
    <t>16:40</t>
  </si>
  <si>
    <t>T00059</t>
  </si>
  <si>
    <t>16:00</t>
  </si>
  <si>
    <t>T00060</t>
  </si>
  <si>
    <t>T00061</t>
  </si>
  <si>
    <t>T00062</t>
  </si>
  <si>
    <t>T00063</t>
  </si>
  <si>
    <t>19:30</t>
  </si>
  <si>
    <t>T00064</t>
  </si>
  <si>
    <t>17:15</t>
  </si>
  <si>
    <t>T00065</t>
  </si>
  <si>
    <t>T00066</t>
  </si>
  <si>
    <t>07:45</t>
  </si>
  <si>
    <t>T00067</t>
  </si>
  <si>
    <t>13:15</t>
  </si>
  <si>
    <t>T00068</t>
  </si>
  <si>
    <t>13:10</t>
  </si>
  <si>
    <t>T00069</t>
  </si>
  <si>
    <t>T00070</t>
  </si>
  <si>
    <t>T00071</t>
  </si>
  <si>
    <t>T00072</t>
  </si>
  <si>
    <t>T00073</t>
  </si>
  <si>
    <t>11:55</t>
  </si>
  <si>
    <t>T00074</t>
  </si>
  <si>
    <t>15:55</t>
  </si>
  <si>
    <t>T00075</t>
  </si>
  <si>
    <t>T00076</t>
  </si>
  <si>
    <t>09:25</t>
  </si>
  <si>
    <t>T00077</t>
  </si>
  <si>
    <t>T00078</t>
  </si>
  <si>
    <t>T00079</t>
  </si>
  <si>
    <t>T00080</t>
  </si>
  <si>
    <t>18:10</t>
  </si>
  <si>
    <t>T00081</t>
  </si>
  <si>
    <t>T00082</t>
  </si>
  <si>
    <t>17:30</t>
  </si>
  <si>
    <t>T00083</t>
  </si>
  <si>
    <t>07:00</t>
  </si>
  <si>
    <t>T00084</t>
  </si>
  <si>
    <t>T00085</t>
  </si>
  <si>
    <t>T00086</t>
  </si>
  <si>
    <t>15:30</t>
  </si>
  <si>
    <t>T00087</t>
  </si>
  <si>
    <t>10:20</t>
  </si>
  <si>
    <t>T00088</t>
  </si>
  <si>
    <t>T00089</t>
  </si>
  <si>
    <t>09:45</t>
  </si>
  <si>
    <t>T00090</t>
  </si>
  <si>
    <t>13:20</t>
  </si>
  <si>
    <t>T00091</t>
  </si>
  <si>
    <t>14:35</t>
  </si>
  <si>
    <t>T00092</t>
  </si>
  <si>
    <t>T00093</t>
  </si>
  <si>
    <t>16:25</t>
  </si>
  <si>
    <t>T00094</t>
  </si>
  <si>
    <t>18:05</t>
  </si>
  <si>
    <t>T00095</t>
  </si>
  <si>
    <t>14:25</t>
  </si>
  <si>
    <t>T00096</t>
  </si>
  <si>
    <t>08:30</t>
  </si>
  <si>
    <t>T00097</t>
  </si>
  <si>
    <t>12:15</t>
  </si>
  <si>
    <t>T00098</t>
  </si>
  <si>
    <t>T00099</t>
  </si>
  <si>
    <t>21:20</t>
  </si>
  <si>
    <t>T00100</t>
  </si>
  <si>
    <t>T00101</t>
  </si>
  <si>
    <t>15:25</t>
  </si>
  <si>
    <t>T00102</t>
  </si>
  <si>
    <t>T00103</t>
  </si>
  <si>
    <t>19:40</t>
  </si>
  <si>
    <t>T00104</t>
  </si>
  <si>
    <t>T00105</t>
  </si>
  <si>
    <t>T00106</t>
  </si>
  <si>
    <t>T00107</t>
  </si>
  <si>
    <t>T00108</t>
  </si>
  <si>
    <t>13:45</t>
  </si>
  <si>
    <t>T00109</t>
  </si>
  <si>
    <t>19:55</t>
  </si>
  <si>
    <t>T00110</t>
  </si>
  <si>
    <t>T00111</t>
  </si>
  <si>
    <t>T00112</t>
  </si>
  <si>
    <t>T00113</t>
  </si>
  <si>
    <t>T00114</t>
  </si>
  <si>
    <t>21:55</t>
  </si>
  <si>
    <t>T00115</t>
  </si>
  <si>
    <t>T00116</t>
  </si>
  <si>
    <t>09:50</t>
  </si>
  <si>
    <t>T00117</t>
  </si>
  <si>
    <t>T00118</t>
  </si>
  <si>
    <t>14:10</t>
  </si>
  <si>
    <t>T00119</t>
  </si>
  <si>
    <t>T00120</t>
  </si>
  <si>
    <t>17:00</t>
  </si>
  <si>
    <t>T00121</t>
  </si>
  <si>
    <t>T00122</t>
  </si>
  <si>
    <t>T00123</t>
  </si>
  <si>
    <t>T00124</t>
  </si>
  <si>
    <t>T00125</t>
  </si>
  <si>
    <t>T00126</t>
  </si>
  <si>
    <t>10:50</t>
  </si>
  <si>
    <t>T00127</t>
  </si>
  <si>
    <t>08:05</t>
  </si>
  <si>
    <t>T00128</t>
  </si>
  <si>
    <t>16:20</t>
  </si>
  <si>
    <t>T00129</t>
  </si>
  <si>
    <t>T00130</t>
  </si>
  <si>
    <t>T00131</t>
  </si>
  <si>
    <t>T00132</t>
  </si>
  <si>
    <t>T00133</t>
  </si>
  <si>
    <t>T00134</t>
  </si>
  <si>
    <t>20:00</t>
  </si>
  <si>
    <t>T00135</t>
  </si>
  <si>
    <t>13:40</t>
  </si>
  <si>
    <t>T00136</t>
  </si>
  <si>
    <t>17:05</t>
  </si>
  <si>
    <t>T00137</t>
  </si>
  <si>
    <t>T00138</t>
  </si>
  <si>
    <t>18:40</t>
  </si>
  <si>
    <t>T00139</t>
  </si>
  <si>
    <t>T00140</t>
  </si>
  <si>
    <t>14:05</t>
  </si>
  <si>
    <t>T00141</t>
  </si>
  <si>
    <t>09:20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</si>
  <si>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</si>
  <si>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</si>
  <si>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</si>
  <si>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</si>
  <si>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</si>
  <si>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</si>
  <si>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</si>
  <si>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</si>
  <si>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</si>
  <si>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</si>
  <si>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</si>
  <si>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07:55</t>
  </si>
  <si>
    <t>T00153</t>
  </si>
  <si>
    <t>T00154</t>
  </si>
  <si>
    <t>09:30</t>
  </si>
  <si>
    <t>T00155</t>
  </si>
  <si>
    <t>T00156</t>
  </si>
  <si>
    <t>T00157</t>
  </si>
  <si>
    <t>T00158</t>
  </si>
  <si>
    <t>19:35</t>
  </si>
  <si>
    <t>T00159</t>
  </si>
  <si>
    <t>T00160</t>
  </si>
  <si>
    <t>18:45</t>
  </si>
  <si>
    <t>T00161</t>
  </si>
  <si>
    <t>T00162</t>
  </si>
  <si>
    <t>16:30</t>
  </si>
  <si>
    <t>T00163</t>
  </si>
  <si>
    <t>13:35</t>
  </si>
  <si>
    <t>T00164</t>
  </si>
  <si>
    <t>19:50</t>
  </si>
  <si>
    <t>T00165</t>
  </si>
  <si>
    <t>T00166</t>
  </si>
  <si>
    <t>T00167</t>
  </si>
  <si>
    <t>T00168</t>
  </si>
  <si>
    <t>T00169</t>
  </si>
  <si>
    <t>T00170</t>
  </si>
  <si>
    <t>14:45</t>
  </si>
  <si>
    <t>T00171</t>
  </si>
  <si>
    <t>T00172</t>
  </si>
  <si>
    <t>T00173</t>
  </si>
  <si>
    <t>12:40</t>
  </si>
  <si>
    <t>T00174</t>
  </si>
  <si>
    <t>07:35</t>
  </si>
  <si>
    <t>T00175</t>
  </si>
  <si>
    <t>T00176</t>
  </si>
  <si>
    <t>T00177</t>
  </si>
  <si>
    <t>T00178</t>
  </si>
  <si>
    <t>21:10</t>
  </si>
  <si>
    <t>T00179</t>
  </si>
  <si>
    <t>19:25</t>
  </si>
  <si>
    <t>T00180</t>
  </si>
  <si>
    <t>10:55</t>
  </si>
  <si>
    <t>T00181</t>
  </si>
  <si>
    <t>T00182</t>
  </si>
  <si>
    <t>T00183</t>
  </si>
  <si>
    <t>T00184</t>
  </si>
  <si>
    <t>T00185</t>
  </si>
  <si>
    <t>18:50</t>
  </si>
  <si>
    <t>T00186</t>
  </si>
  <si>
    <t>T00187</t>
  </si>
  <si>
    <t>T00188</t>
  </si>
  <si>
    <t>T00189</t>
  </si>
  <si>
    <t>19:15</t>
  </si>
  <si>
    <t>T00190</t>
  </si>
  <si>
    <t>T00191</t>
  </si>
  <si>
    <t>T00192</t>
  </si>
  <si>
    <t>T00193</t>
  </si>
  <si>
    <t>18:00</t>
  </si>
  <si>
    <t>T00194</t>
  </si>
  <si>
    <t>12:25</t>
  </si>
  <si>
    <t>T00195</t>
  </si>
  <si>
    <t>T00196</t>
  </si>
  <si>
    <t>T00197</t>
  </si>
  <si>
    <t>T00198</t>
  </si>
  <si>
    <t>T00199</t>
  </si>
  <si>
    <t>T00200</t>
  </si>
  <si>
    <t>T00201</t>
  </si>
  <si>
    <t>19:05</t>
  </si>
  <si>
    <t>T00202</t>
  </si>
  <si>
    <t>T00203</t>
  </si>
  <si>
    <t>T00204</t>
  </si>
  <si>
    <t>08:10</t>
  </si>
  <si>
    <t>T00205</t>
  </si>
  <si>
    <t>T00206</t>
  </si>
  <si>
    <t>17:55</t>
  </si>
  <si>
    <t>T00207</t>
  </si>
  <si>
    <t>T00208</t>
  </si>
  <si>
    <t>19:10</t>
  </si>
  <si>
    <t>T00209</t>
  </si>
  <si>
    <t>T00210</t>
  </si>
  <si>
    <t>T00211</t>
  </si>
  <si>
    <t>T00212</t>
  </si>
  <si>
    <t>T00213</t>
  </si>
  <si>
    <t>T00214</t>
  </si>
  <si>
    <t>08:15</t>
  </si>
  <si>
    <t>T00215</t>
  </si>
  <si>
    <t>T00216</t>
  </si>
  <si>
    <t>08:00</t>
  </si>
  <si>
    <t>T00217</t>
  </si>
  <si>
    <t>T00218</t>
  </si>
  <si>
    <t>T00219</t>
  </si>
  <si>
    <t>T00220</t>
  </si>
  <si>
    <t>T00221</t>
  </si>
  <si>
    <t>T00222</t>
  </si>
  <si>
    <t>13:55</t>
  </si>
  <si>
    <t>T00223</t>
  </si>
  <si>
    <t>T00224</t>
  </si>
  <si>
    <t>T00225</t>
  </si>
  <si>
    <t>T00226</t>
  </si>
  <si>
    <t>T00227</t>
  </si>
  <si>
    <t>18:55</t>
  </si>
  <si>
    <t>T00228</t>
  </si>
  <si>
    <t>T00229</t>
  </si>
  <si>
    <t>T00230</t>
  </si>
  <si>
    <t>15:05</t>
  </si>
  <si>
    <t>T00231</t>
  </si>
  <si>
    <t>T00232</t>
  </si>
  <si>
    <t>10:05</t>
  </si>
  <si>
    <t>T00233</t>
  </si>
  <si>
    <t>21:30</t>
  </si>
  <si>
    <t>T00234</t>
  </si>
  <si>
    <t>T00235</t>
  </si>
  <si>
    <t>T00236</t>
  </si>
  <si>
    <t>08:20</t>
  </si>
  <si>
    <t>T00237</t>
  </si>
  <si>
    <t>11:05</t>
  </si>
  <si>
    <t>T00238</t>
  </si>
  <si>
    <t>T00239</t>
  </si>
  <si>
    <t>T00240</t>
  </si>
  <si>
    <t>T00241</t>
  </si>
  <si>
    <t>T00242</t>
  </si>
  <si>
    <t>21:50</t>
  </si>
  <si>
    <t>T00243</t>
  </si>
  <si>
    <t>T00244</t>
  </si>
  <si>
    <t>T00245</t>
  </si>
  <si>
    <t>T00246</t>
  </si>
  <si>
    <t>T00247</t>
  </si>
  <si>
    <t>14:30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</si>
  <si>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</si>
  <si>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</si>
  <si>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</si>
  <si>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</si>
  <si>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</si>
  <si>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</si>
  <si>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</si>
  <si>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</si>
  <si>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</si>
  <si>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</si>
  <si>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</si>
  <si>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</si>
  <si>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</si>
  <si>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</si>
  <si>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</si>
  <si>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</si>
  <si>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</si>
  <si>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20:30</t>
  </si>
  <si>
    <t>T00265</t>
  </si>
  <si>
    <t>T00266</t>
  </si>
  <si>
    <t>T00267</t>
  </si>
  <si>
    <t>T00268</t>
  </si>
  <si>
    <t>T00269</t>
  </si>
  <si>
    <t>T00270</t>
  </si>
  <si>
    <t>20:05</t>
  </si>
  <si>
    <t>T00271</t>
  </si>
  <si>
    <t>T00272</t>
  </si>
  <si>
    <t>17:20</t>
  </si>
  <si>
    <t>T00273</t>
  </si>
  <si>
    <t>15:15</t>
  </si>
  <si>
    <t>T00274</t>
  </si>
  <si>
    <t>11:20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</si>
  <si>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</si>
  <si>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</si>
  <si>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</si>
  <si>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</si>
  <si>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</si>
  <si>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</si>
  <si>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</si>
  <si>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</si>
  <si>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</si>
  <si>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</si>
  <si>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13:05</t>
  </si>
  <si>
    <t>T00285</t>
  </si>
  <si>
    <t>18:35</t>
  </si>
  <si>
    <t>T00286</t>
  </si>
  <si>
    <t>T00287</t>
  </si>
  <si>
    <t>T00288</t>
  </si>
  <si>
    <t>T00289</t>
  </si>
  <si>
    <t>T00290</t>
  </si>
  <si>
    <t>T00291</t>
  </si>
  <si>
    <t>12:50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</si>
  <si>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</si>
  <si>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</si>
  <si>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</si>
  <si>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</si>
  <si>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</si>
  <si>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</si>
  <si>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</si>
  <si>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</si>
  <si>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</si>
  <si>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</si>
  <si>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</si>
  <si>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20:50</t>
  </si>
  <si>
    <t>T00303</t>
  </si>
  <si>
    <t>T00304</t>
  </si>
  <si>
    <t>T00305</t>
  </si>
  <si>
    <t>T00306</t>
  </si>
  <si>
    <t>T00307</t>
  </si>
  <si>
    <t>21:45</t>
  </si>
  <si>
    <t>T00308</t>
  </si>
  <si>
    <t>T00309</t>
  </si>
  <si>
    <t>T00310</t>
  </si>
  <si>
    <t>11:45</t>
  </si>
  <si>
    <t>T00311</t>
  </si>
  <si>
    <t>20:15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</si>
  <si>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</si>
  <si>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</si>
  <si>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</si>
  <si>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</si>
  <si>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</si>
  <si>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</si>
  <si>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</si>
  <si>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</si>
  <si>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</si>
  <si>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</si>
  <si>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</si>
  <si>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</si>
  <si>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</si>
  <si>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20:40</t>
  </si>
  <si>
    <t>T00325</t>
  </si>
  <si>
    <t>T00326</t>
  </si>
  <si>
    <t>11:15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</si>
  <si>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</si>
  <si>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</si>
  <si>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</si>
  <si>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</si>
  <si>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</si>
  <si>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</si>
  <si>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</si>
  <si>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</si>
  <si>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</si>
  <si>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</si>
  <si>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13:30</t>
  </si>
  <si>
    <t>T00337</t>
  </si>
  <si>
    <t>T00338</t>
  </si>
  <si>
    <t>T00339</t>
  </si>
  <si>
    <t>09:10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</si>
  <si>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</si>
  <si>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</si>
  <si>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</si>
  <si>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</si>
  <si>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</si>
  <si>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</si>
  <si>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</si>
  <si>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</si>
  <si>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</si>
  <si>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</si>
  <si>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</si>
  <si>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</si>
  <si>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</si>
  <si>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</si>
  <si>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</si>
  <si>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10:15</t>
  </si>
  <si>
    <t>T00355</t>
  </si>
  <si>
    <t>T00356</t>
  </si>
  <si>
    <t>T00357</t>
  </si>
  <si>
    <t>15:00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</si>
  <si>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</si>
  <si>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</si>
  <si>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</si>
  <si>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</si>
  <si>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</si>
  <si>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</si>
  <si>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</si>
  <si>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</si>
  <si>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</si>
  <si>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</si>
  <si>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</si>
  <si>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</si>
  <si>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</si>
  <si>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</si>
  <si>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</si>
  <si>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</si>
  <si>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21:35</t>
  </si>
  <si>
    <t>T00374</t>
  </si>
  <si>
    <t>10:10</t>
  </si>
  <si>
    <t>T00375</t>
  </si>
  <si>
    <t>T00376</t>
  </si>
  <si>
    <t>T00377</t>
  </si>
  <si>
    <t>T00378</t>
  </si>
  <si>
    <t>09:55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</si>
  <si>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</si>
  <si>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</si>
  <si>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</si>
  <si>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</si>
  <si>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</si>
  <si>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</si>
  <si>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</si>
  <si>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</si>
  <si>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</si>
  <si>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</si>
  <si>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</si>
  <si>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</si>
  <si>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</si>
  <si>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</si>
  <si>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</si>
  <si>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</si>
  <si>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</si>
  <si>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</si>
  <si>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</si>
  <si>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</si>
  <si>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</si>
  <si>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</si>
  <si>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12:35</t>
  </si>
  <si>
    <t>T00401</t>
  </si>
  <si>
    <t>T00402</t>
  </si>
  <si>
    <t>T00403</t>
  </si>
  <si>
    <t>09:05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</si>
  <si>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</si>
  <si>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</si>
  <si>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</si>
  <si>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</si>
  <si>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</si>
  <si>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</si>
  <si>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</si>
  <si>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</si>
  <si>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07:15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</si>
  <si>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</si>
  <si>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</si>
  <si>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</si>
  <si>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</si>
  <si>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</si>
  <si>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</si>
  <si>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</si>
  <si>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</si>
  <si>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</si>
  <si>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</si>
  <si>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</si>
  <si>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</si>
  <si>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</si>
  <si>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</si>
  <si>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08:40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</si>
  <si>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</si>
  <si>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</si>
  <si>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</si>
  <si>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</si>
  <si>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</si>
  <si>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</si>
  <si>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</si>
  <si>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</si>
  <si>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15:10</t>
  </si>
  <si>
    <t>T00434</t>
  </si>
  <si>
    <t>T00435</t>
  </si>
  <si>
    <t>15:45</t>
  </si>
  <si>
    <t>T00436</t>
  </si>
  <si>
    <t>T00437</t>
  </si>
  <si>
    <t>T00438</t>
  </si>
  <si>
    <t>T00439</t>
  </si>
  <si>
    <t>T00440</t>
  </si>
  <si>
    <t>T00441</t>
  </si>
  <si>
    <t>08:35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</si>
  <si>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</si>
  <si>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</si>
  <si>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</si>
  <si>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</si>
  <si>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</si>
  <si>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</si>
  <si>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</si>
  <si>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</si>
  <si>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</si>
  <si>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</si>
  <si>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</si>
  <si>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</si>
  <si>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</si>
  <si>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</si>
  <si>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</si>
  <si>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</si>
  <si>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</si>
  <si>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</si>
  <si>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</si>
  <si>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</si>
  <si>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</si>
  <si>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</si>
  <si>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</si>
  <si>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</si>
  <si>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</si>
  <si>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</si>
  <si>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</si>
  <si>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</si>
  <si>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</si>
  <si>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</si>
  <si>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</si>
  <si>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</si>
  <si>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</si>
  <si>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</si>
  <si>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16:50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</si>
  <si>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</si>
  <si>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</si>
  <si>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</si>
  <si>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</si>
  <si>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</si>
  <si>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</si>
  <si>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</si>
  <si>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</si>
  <si>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10:00</t>
  </si>
  <si>
    <t>T00484</t>
  </si>
  <si>
    <t>T00485</t>
  </si>
  <si>
    <t>21:15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</si>
  <si>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</si>
  <si>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</si>
  <si>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</si>
  <si>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</si>
  <si>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</si>
  <si>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</si>
  <si>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</si>
  <si>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</si>
  <si>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</si>
  <si>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</si>
  <si>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</si>
  <si>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</si>
  <si>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</si>
  <si>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10:45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</si>
  <si>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</si>
  <si>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</si>
  <si>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</si>
  <si>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</si>
  <si>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</si>
  <si>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</si>
  <si>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</si>
  <si>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</si>
  <si>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</si>
  <si>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</si>
  <si>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</si>
  <si>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</si>
  <si>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</si>
  <si>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</si>
  <si>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</si>
  <si>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</si>
  <si>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</si>
  <si>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</si>
  <si>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</si>
  <si>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</si>
  <si>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</si>
  <si>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</si>
  <si>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</si>
  <si>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</si>
  <si>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</si>
  <si>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</si>
  <si>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</si>
  <si>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</si>
  <si>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</si>
  <si>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</si>
  <si>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</si>
  <si>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</si>
  <si>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</si>
  <si>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</si>
  <si>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</si>
  <si>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</si>
  <si>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</si>
  <si>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</si>
  <si>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</si>
  <si>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</si>
  <si>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</si>
  <si>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</si>
  <si>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</si>
  <si>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</si>
  <si>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</si>
  <si>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20:10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</si>
  <si>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</si>
  <si>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</si>
  <si>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</si>
  <si>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</si>
  <si>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</si>
  <si>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</si>
  <si>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</si>
  <si>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</si>
  <si>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</si>
  <si>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</si>
  <si>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</si>
  <si>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</si>
  <si>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</si>
  <si>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</si>
  <si>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</si>
  <si>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</si>
  <si>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</si>
  <si>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</si>
  <si>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10:35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</si>
  <si>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</si>
  <si>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</si>
  <si>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</si>
  <si>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</si>
  <si>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</si>
  <si>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</si>
  <si>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</si>
  <si>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</si>
  <si>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</si>
  <si>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</si>
  <si>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</si>
  <si>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</si>
  <si>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</si>
  <si>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</si>
  <si>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</si>
  <si>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</si>
  <si>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</si>
  <si>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</si>
  <si>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</si>
  <si>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</si>
  <si>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</si>
  <si>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11:10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</si>
  <si>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</si>
  <si>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</si>
  <si>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</si>
  <si>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</si>
  <si>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</si>
  <si>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</si>
  <si>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</si>
  <si>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</si>
  <si>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</si>
  <si>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</si>
  <si>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</si>
  <si>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</si>
  <si>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</si>
  <si>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</si>
  <si>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</si>
  <si>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</si>
  <si>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</si>
  <si>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</si>
  <si>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</si>
  <si>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</si>
  <si>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</si>
  <si>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</si>
  <si>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</si>
  <si>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</si>
  <si>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</si>
  <si>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</si>
  <si>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</si>
  <si>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</si>
  <si>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</si>
  <si>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</si>
  <si>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</si>
  <si>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</si>
  <si>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</si>
  <si>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09:15</t>
  </si>
  <si>
    <t>T00616</t>
  </si>
  <si>
    <t>T00617</t>
  </si>
  <si>
    <t>T00618</t>
  </si>
  <si>
    <t>20:35</t>
  </si>
  <si>
    <t>T00619</t>
  </si>
  <si>
    <t>T00620</t>
  </si>
  <si>
    <t>T00621</t>
  </si>
  <si>
    <t>T00622</t>
  </si>
  <si>
    <t>T00623</t>
  </si>
  <si>
    <t>08:25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</si>
  <si>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</si>
  <si>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</si>
  <si>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</si>
  <si>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</si>
  <si>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</si>
  <si>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</si>
  <si>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</si>
  <si>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</si>
  <si>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15:50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</si>
  <si>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</si>
  <si>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</si>
  <si>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</si>
  <si>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</si>
  <si>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</si>
  <si>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</si>
  <si>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</si>
  <si>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</si>
  <si>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</si>
  <si>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</si>
  <si>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</si>
  <si>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</si>
  <si>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</si>
  <si>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20:20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</si>
  <si>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</si>
  <si>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</si>
  <si>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</si>
  <si>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</si>
  <si>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</si>
  <si>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</si>
  <si>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</si>
  <si>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</si>
  <si>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</si>
  <si>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</si>
  <si>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</si>
  <si>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</si>
  <si>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07:10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</si>
  <si>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</si>
  <si>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</si>
  <si>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</si>
  <si>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</si>
  <si>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</si>
  <si>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</si>
  <si>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</si>
  <si>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</si>
  <si>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</si>
  <si>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</si>
  <si>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</si>
  <si>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</si>
  <si>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</si>
  <si>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</si>
  <si>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</si>
  <si>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</si>
  <si>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</si>
  <si>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</si>
  <si>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</si>
  <si>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</si>
  <si>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</si>
  <si>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</si>
  <si>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</si>
  <si>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</si>
  <si>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</si>
  <si>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</si>
  <si>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</si>
  <si>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</si>
  <si>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</si>
  <si>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09:40</t>
  </si>
  <si>
    <t>T00686</t>
  </si>
  <si>
    <t>08:45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</si>
  <si>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</si>
  <si>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</si>
  <si>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</si>
  <si>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</si>
  <si>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</si>
  <si>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</si>
  <si>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</si>
  <si>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</si>
  <si>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</si>
  <si>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</si>
  <si>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</si>
  <si>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</si>
  <si>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</si>
  <si>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</si>
  <si>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</si>
  <si>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</si>
  <si>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</si>
  <si>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</si>
  <si>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</si>
  <si>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</si>
  <si>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</si>
  <si>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20:25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</si>
  <si>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</si>
  <si>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</si>
  <si>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</si>
  <si>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</si>
  <si>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</si>
  <si>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</si>
  <si>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</si>
  <si>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</si>
  <si>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</si>
  <si>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</si>
  <si>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</si>
  <si>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</si>
  <si>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</si>
  <si>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</si>
  <si>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</si>
  <si>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</si>
  <si>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</si>
  <si>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</si>
  <si>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</si>
  <si>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</si>
  <si>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</si>
  <si>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</si>
  <si>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</si>
  <si>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</si>
  <si>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</si>
  <si>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</si>
  <si>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</si>
  <si>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</si>
  <si>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</si>
  <si>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</si>
  <si>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</si>
  <si>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</si>
  <si>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</si>
  <si>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</si>
  <si>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</si>
  <si>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</si>
  <si>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11:35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</si>
  <si>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</si>
  <si>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</si>
  <si>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</si>
  <si>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</si>
  <si>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</si>
  <si>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</si>
  <si>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</si>
  <si>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</si>
  <si>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</si>
  <si>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</si>
  <si>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</si>
  <si>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</si>
  <si>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</si>
  <si>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</si>
  <si>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</si>
  <si>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</si>
  <si>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</si>
  <si>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</si>
  <si>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</si>
  <si>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</si>
  <si>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</si>
  <si>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</si>
  <si>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</si>
  <si>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</si>
  <si>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</si>
  <si>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</si>
  <si>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</si>
  <si>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</si>
  <si>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</si>
  <si>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</si>
  <si>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</si>
  <si>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</si>
  <si>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</si>
  <si>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</si>
  <si>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</si>
  <si>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</si>
  <si>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</si>
  <si>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</si>
  <si>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</si>
  <si>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</si>
  <si>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</si>
  <si>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</si>
  <si>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</si>
  <si>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</si>
  <si>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</si>
  <si>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</si>
  <si>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</si>
  <si>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</si>
  <si>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</si>
  <si>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</si>
  <si>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</si>
  <si>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</si>
  <si>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</si>
  <si>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</si>
  <si>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</si>
  <si>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</si>
  <si>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</si>
  <si>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</si>
  <si>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</si>
  <si>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</si>
  <si>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</si>
  <si>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</si>
  <si>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</si>
  <si>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</si>
  <si>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</si>
  <si>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</si>
  <si>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</si>
  <si>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</si>
  <si>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</si>
  <si>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</si>
  <si>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</si>
  <si>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</si>
  <si>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</si>
  <si>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</si>
  <si>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</si>
  <si>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</si>
  <si>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07:30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</si>
  <si>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</si>
  <si>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</si>
  <si>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</si>
  <si>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</si>
  <si>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</si>
  <si>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</si>
  <si>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</si>
  <si>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</si>
  <si>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</si>
  <si>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</si>
  <si>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</si>
  <si>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</si>
  <si>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</si>
  <si>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</si>
  <si>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</si>
  <si>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</si>
  <si>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</si>
  <si>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</si>
  <si>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</si>
  <si>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</si>
  <si>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</si>
  <si>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</si>
  <si>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</si>
  <si>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</si>
  <si>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</si>
  <si>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</si>
  <si>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</si>
  <si>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</si>
  <si>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</si>
  <si>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</si>
  <si>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</si>
  <si>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</si>
  <si>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</si>
  <si>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</si>
  <si>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</si>
  <si>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</si>
  <si>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</si>
  <si>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</si>
  <si>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</si>
  <si>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</si>
  <si>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</si>
  <si>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</si>
  <si>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09:00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</si>
  <si>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</si>
  <si>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</si>
  <si>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</si>
  <si>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</si>
  <si>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</si>
  <si>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</si>
  <si>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</si>
  <si>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</si>
  <si>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</si>
  <si>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</si>
  <si>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</si>
  <si>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</si>
  <si>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</si>
  <si>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</si>
  <si>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</si>
  <si>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</si>
  <si>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07:20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</si>
  <si>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</si>
  <si>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</si>
  <si>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</si>
  <si>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</si>
  <si>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</si>
  <si>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</si>
  <si>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</si>
  <si>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</si>
  <si>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</si>
  <si>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</si>
  <si>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</si>
  <si>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</si>
  <si>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</si>
  <si>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</si>
  <si>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</si>
  <si>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</si>
  <si>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</si>
  <si>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</si>
  <si>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</si>
  <si>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</si>
  <si>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</si>
  <si>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</si>
  <si>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</si>
  <si>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</si>
  <si>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07:25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</si>
  <si>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</si>
  <si>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</si>
  <si>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</si>
  <si>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</si>
  <si>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</si>
  <si>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</si>
  <si>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</si>
  <si>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</si>
  <si>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</si>
  <si>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</si>
  <si>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</si>
  <si>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</si>
  <si>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</si>
  <si>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</si>
  <si>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</si>
  <si>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10:30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</si>
  <si>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</si>
  <si>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</si>
  <si>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</si>
  <si>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</si>
  <si>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</si>
  <si>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</si>
  <si>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</si>
  <si>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</si>
  <si>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</si>
  <si>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</si>
  <si>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</si>
  <si>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</si>
  <si>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</si>
  <si>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</si>
  <si>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</si>
  <si>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</si>
  <si>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</si>
  <si>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</si>
  <si>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</si>
  <si>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</si>
  <si>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</si>
  <si>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</si>
  <si>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</si>
  <si>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</si>
  <si>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</si>
  <si>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</si>
  <si>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</si>
  <si>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</si>
  <si>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</si>
  <si>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</si>
  <si>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</si>
  <si>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</si>
  <si>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</si>
  <si>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</si>
  <si>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</si>
  <si>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</si>
  <si>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</si>
  <si>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</si>
  <si>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</si>
  <si>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</si>
  <si>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</si>
  <si>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</si>
  <si>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</si>
  <si>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</si>
  <si>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</si>
  <si>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</si>
  <si>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</si>
  <si>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</si>
  <si>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</si>
  <si>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</si>
  <si>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</si>
  <si>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</si>
  <si>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</si>
  <si>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</si>
  <si>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</si>
  <si>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</si>
  <si>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</si>
  <si>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</si>
  <si>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</si>
  <si>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</si>
  <si>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</si>
  <si>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</si>
  <si>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</si>
  <si>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</si>
  <si>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</si>
  <si>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</si>
  <si>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</si>
  <si>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</si>
  <si>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</si>
  <si>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</si>
  <si>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</si>
  <si>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</si>
  <si>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</si>
  <si>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</si>
  <si>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</si>
  <si>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</si>
  <si>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</si>
  <si>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</si>
  <si>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</si>
  <si>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</si>
  <si>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</si>
  <si>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</si>
  <si>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</si>
  <si>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</si>
  <si>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15:35</t>
  </si>
  <si>
    <t>Column</t>
  </si>
  <si>
    <t>What it means</t>
  </si>
  <si>
    <t>Unique ID for each synthetic transaction row.</t>
  </si>
  <si>
    <t>Date the transaction happened.</t>
  </si>
  <si>
    <t>Time of the transaction.</t>
  </si>
  <si>
    <t>Day of the week.</t>
  </si>
  <si>
    <t>Fictional grocery product sold.</t>
  </si>
  <si>
    <t>Product group such as Bakery, Dairy or Frozen.</t>
  </si>
  <si>
    <t>Number of units sold.</t>
  </si>
  <si>
    <t>Price paid per unit after any promotion.</t>
  </si>
  <si>
    <t>Whether the item was on a fictional promotion.</t>
  </si>
  <si>
    <t>Synthetic stock level immediately before the sale.</t>
  </si>
  <si>
    <t>Synthetic quantity recorded as waste.</t>
  </si>
  <si>
    <t>Synthetic number of staff working at that point.</t>
  </si>
  <si>
    <t>Synthetic estimated checkout wait time.</t>
  </si>
  <si>
    <t>Calculated as Quantity × Unit Price.</t>
  </si>
  <si>
    <t>Retail Operations Dashboard — Questions to Investigate</t>
  </si>
  <si>
    <t>1</t>
  </si>
  <si>
    <t>Which days of the week have the highest revenue?</t>
  </si>
  <si>
    <t>2</t>
  </si>
  <si>
    <t>What times of day appear busiest?</t>
  </si>
  <si>
    <t>3</t>
  </si>
  <si>
    <t>Which product categories generate the most revenue?</t>
  </si>
  <si>
    <t>4</t>
  </si>
  <si>
    <t>Which individual products sell the most units?</t>
  </si>
  <si>
    <t>5</t>
  </si>
  <si>
    <t>Do promoted products sell more units than non-promoted products?</t>
  </si>
  <si>
    <t>6</t>
  </si>
  <si>
    <t>Which categories generate the most waste?</t>
  </si>
  <si>
    <t>7</t>
  </si>
  <si>
    <t>When are checkout waits longest?</t>
  </si>
  <si>
    <t>8</t>
  </si>
  <si>
    <t>Is lower staffing associated with longer checkout waits?</t>
  </si>
  <si>
    <t>9</t>
  </si>
  <si>
    <t>Which products frequently have low stock before a sale?</t>
  </si>
  <si>
    <t>10</t>
  </si>
  <si>
    <t>What operational recommendations could you make from the results?</t>
  </si>
  <si>
    <t>Row Labels</t>
  </si>
  <si>
    <t>Grand Total</t>
  </si>
  <si>
    <t>Sum of Revenue (£)</t>
  </si>
  <si>
    <t>Count of Transaction ID</t>
  </si>
  <si>
    <t>RetailTransactions[Transaction ID]</t>
  </si>
  <si>
    <t>RetailTransactions[Date]</t>
  </si>
  <si>
    <t>RetailTransactions[Time]</t>
  </si>
  <si>
    <t>RetailTransactions[Day]</t>
  </si>
  <si>
    <t>RetailTransactions[Product]</t>
  </si>
  <si>
    <t>RetailTransactions[Category]</t>
  </si>
  <si>
    <t>RetailTransactions[Quantity]</t>
  </si>
  <si>
    <t>RetailTransactions[Unit Price (£)]</t>
  </si>
  <si>
    <t>RetailTransactions[Promotion]</t>
  </si>
  <si>
    <t>RetailTransactions[Stock Before Sale]</t>
  </si>
  <si>
    <t>RetailTransactions[Waste Quantity]</t>
  </si>
  <si>
    <t>RetailTransactions[Staff on Shift]</t>
  </si>
  <si>
    <t>RetailTransactions[Checkout Wait (mins)]</t>
  </si>
  <si>
    <t>RetailTransactions[Revenue (£)]</t>
  </si>
  <si>
    <t>Data returned for Sum of Quantity, Frozen (First 1000 rows).</t>
  </si>
  <si>
    <t>Hours</t>
  </si>
  <si>
    <t>Sum of Waste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</si>
</sst>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0.00"/>
    <numFmt numFmtId="165" formatCode="0.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0" fillId="0" borderId="0" xfId="0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fa Khaleeq" refreshedDate="46275.045729166668" createdVersion="8" refreshedVersion="8" minRefreshableVersion="3" recordCount="1000" xr:uid="{058B7B79-B06A-4121-9D36-2BC667406DD6}">
  <cacheSource type="worksheet">
    <worksheetSource name="RetailTransactions"/>
  </cacheSource>
  <cacheFields count="16">
    <cacheField name="Transaction ID" numFmtId="0">
      <sharedItems count="1000">
        <s v="T00001"/>
        <s v="T00002"/>
        <s v="T00003"/>
        <s v="T00004"/>
        <s v="T00005"/>
        <s v="T00006"/>
        <s v="T00007"/>
        <s v="T00008"/>
        <s v="T00009"/>
        <s v="T00010"/>
        <s v="T00011"/>
        <s v="T00012"/>
        <s v="T00013"/>
        <s v="T00014"/>
        <s v="T00015"/>
        <s v="T00016"/>
        <s v="T00017"/>
        <s v="T00018"/>
        <s v="T00019"/>
        <s v="T00020"/>
        <s v="T00021"/>
        <s v="T00022"/>
        <s v="T00023"/>
        <s v="T00024"/>
        <s v="T00025"/>
        <s v="T00026"/>
        <s v="T00027"/>
        <s v="T00028"/>
        <s v="T00029"/>
        <s v="T00030"/>
        <s v="T00031"/>
        <s v="T00032"/>
        <s v="T00033"/>
        <s v="T00034"/>
        <s v="T00035"/>
        <s v="T00036"/>
        <s v="T00037"/>
        <s v="T00038"/>
        <s v="T00039"/>
        <s v="T00040"/>
        <s v="T00041"/>
        <s v="T00042"/>
        <s v="T00043"/>
        <s v="T00044"/>
        <s v="T00045"/>
        <s v="T00046"/>
        <s v="T00047"/>
        <s v="T00048"/>
        <s v="T00049"/>
        <s v="T00050"/>
        <s v="T00051"/>
        <s v="T00052"/>
        <s v="T00053"/>
        <s v="T00054"/>
        <s v="T00055"/>
        <s v="T00056"/>
        <s v="T00057"/>
        <s v="T00058"/>
        <s v="T00059"/>
        <s v="T00060"/>
        <s v="T00061"/>
        <s v="T00062"/>
        <s v="T00063"/>
        <s v="T00064"/>
        <s v="T00065"/>
        <s v="T00066"/>
        <s v="T00067"/>
        <s v="T00068"/>
        <s v="T00069"/>
        <s v="T00070"/>
        <s v="T00071"/>
        <s v="T00072"/>
        <s v="T00073"/>
        <s v="T00074"/>
        <s v="T00075"/>
        <s v="T00076"/>
        <s v="T00077"/>
        <s v="T00078"/>
        <s v="T00079"/>
        <s v="T00080"/>
        <s v="T00081"/>
        <s v="T00082"/>
        <s v="T00083"/>
        <s v="T00084"/>
        <s v="T00085"/>
        <s v="T00086"/>
        <s v="T00087"/>
        <s v="T00088"/>
        <s v="T00089"/>
        <s v="T00090"/>
        <s v="T00091"/>
        <s v="T00092"/>
        <s v="T00093"/>
        <s v="T00094"/>
        <s v="T00095"/>
        <s v="T00096"/>
        <s v="T00097"/>
        <s v="T00098"/>
        <s v="T00099"/>
        <s v="T00100"/>
        <s v="T00101"/>
        <s v="T00102"/>
        <s v="T00103"/>
        <s v="T00104"/>
        <s v="T00105"/>
        <s v="T00106"/>
        <s v="T00107"/>
        <s v="T00108"/>
        <s v="T00109"/>
        <s v="T00110"/>
        <s v="T00111"/>
        <s v="T00112"/>
        <s v="T00113"/>
        <s v="T00114"/>
        <s v="T00115"/>
        <s v="T00116"/>
        <s v="T00117"/>
        <s v="T00118"/>
        <s v="T00119"/>
        <s v="T00120"/>
        <s v="T00121"/>
        <s v="T00122"/>
        <s v="T00123"/>
        <s v="T00124"/>
        <s v="T00125"/>
        <s v="T00126"/>
        <s v="T00127"/>
        <s v="T00128"/>
        <s v="T00129"/>
        <s v="T00130"/>
        <s v="T00131"/>
        <s v="T00132"/>
        <s v="T00133"/>
        <s v="T00134"/>
        <s v="T00135"/>
        <s v="T00136"/>
        <s v="T00137"/>
        <s v="T00138"/>
        <s v="T00139"/>
        <s v="T00140"/>
        <s v="T00141"/>
        <s v="T00142"/>
        <s v="T00143"/>
        <s v="T00144"/>
        <s v="T00145"/>
        <s v="T00146"/>
        <s v="T00147"/>
        <s v="T00148"/>
        <s v="T00149"/>
        <s v="T00150"/>
        <s v="T00151"/>
        <s v="T00152"/>
        <s v="T00153"/>
        <s v="T00154"/>
        <s v="T00155"/>
        <s v="T00156"/>
        <s v="T00157"/>
        <s v="T00158"/>
        <s v="T00159"/>
        <s v="T00160"/>
        <s v="T00161"/>
        <s v="T00162"/>
        <s v="T00163"/>
        <s v="T00164"/>
        <s v="T00165"/>
        <s v="T00166"/>
        <s v="T00167"/>
        <s v="T00168"/>
        <s v="T00169"/>
        <s v="T00170"/>
        <s v="T00171"/>
        <s v="T00172"/>
        <s v="T00173"/>
        <s v="T00174"/>
        <s v="T00175"/>
        <s v="T00176"/>
        <s v="T00177"/>
        <s v="T00178"/>
        <s v="T00179"/>
        <s v="T00180"/>
        <s v="T00181"/>
        <s v="T00182"/>
        <s v="T00183"/>
        <s v="T00184"/>
        <s v="T00185"/>
        <s v="T00186"/>
        <s v="T00187"/>
        <s v="T00188"/>
        <s v="T00189"/>
        <s v="T00190"/>
        <s v="T00191"/>
        <s v="T00192"/>
        <s v="T00193"/>
        <s v="T00194"/>
        <s v="T00195"/>
        <s v="T00196"/>
        <s v="T00197"/>
        <s v="T00198"/>
        <s v="T00199"/>
        <s v="T00200"/>
        <s v="T00201"/>
        <s v="T00202"/>
        <s v="T00203"/>
        <s v="T00204"/>
        <s v="T00205"/>
        <s v="T00206"/>
        <s v="T00207"/>
        <s v="T00208"/>
        <s v="T00209"/>
        <s v="T00210"/>
        <s v="T00211"/>
        <s v="T00212"/>
        <s v="T00213"/>
        <s v="T00214"/>
        <s v="T00215"/>
        <s v="T00216"/>
        <s v="T00217"/>
        <s v="T00218"/>
        <s v="T00219"/>
        <s v="T00220"/>
        <s v="T00221"/>
        <s v="T00222"/>
        <s v="T00223"/>
        <s v="T00224"/>
        <s v="T00225"/>
        <s v="T00226"/>
        <s v="T00227"/>
        <s v="T00228"/>
        <s v="T00229"/>
        <s v="T00230"/>
        <s v="T00231"/>
        <s v="T00232"/>
        <s v="T00233"/>
        <s v="T00234"/>
        <s v="T00235"/>
        <s v="T00236"/>
        <s v="T00237"/>
        <s v="T00238"/>
        <s v="T00239"/>
        <s v="T00240"/>
        <s v="T00241"/>
        <s v="T00242"/>
        <s v="T00243"/>
        <s v="T00244"/>
        <s v="T00245"/>
        <s v="T00246"/>
        <s v="T00247"/>
        <s v="T00248"/>
        <s v="T00249"/>
        <s v="T00250"/>
        <s v="T00251"/>
        <s v="T00252"/>
        <s v="T00253"/>
        <s v="T00254"/>
        <s v="T00255"/>
        <s v="T00256"/>
        <s v="T00257"/>
        <s v="T00258"/>
        <s v="T00259"/>
        <s v="T00260"/>
        <s v="T00261"/>
        <s v="T00262"/>
        <s v="T00263"/>
        <s v="T00264"/>
        <s v="T00265"/>
        <s v="T00266"/>
        <s v="T00267"/>
        <s v="T00268"/>
        <s v="T00269"/>
        <s v="T00270"/>
        <s v="T00271"/>
        <s v="T00272"/>
        <s v="T00273"/>
        <s v="T00274"/>
        <s v="T00275"/>
        <s v="T00276"/>
        <s v="T00277"/>
        <s v="T00278"/>
        <s v="T00279"/>
        <s v="T00280"/>
        <s v="T00281"/>
        <s v="T00282"/>
        <s v="T00283"/>
        <s v="T00284"/>
        <s v="T00285"/>
        <s v="T00286"/>
        <s v="T00287"/>
        <s v="T00288"/>
        <s v="T00289"/>
        <s v="T00290"/>
        <s v="T00291"/>
        <s v="T00292"/>
        <s v="T00293"/>
        <s v="T00294"/>
        <s v="T00295"/>
        <s v="T00296"/>
        <s v="T00297"/>
        <s v="T00298"/>
        <s v="T00299"/>
        <s v="T00300"/>
        <s v="T00301"/>
        <s v="T00302"/>
        <s v="T00303"/>
        <s v="T00304"/>
        <s v="T00305"/>
        <s v="T00306"/>
        <s v="T00307"/>
        <s v="T00308"/>
        <s v="T00309"/>
        <s v="T00310"/>
        <s v="T00311"/>
        <s v="T00312"/>
        <s v="T00313"/>
        <s v="T00314"/>
        <s v="T00315"/>
        <s v="T00316"/>
        <s v="T00317"/>
        <s v="T00318"/>
        <s v="T00319"/>
        <s v="T00320"/>
        <s v="T00321"/>
        <s v="T00322"/>
        <s v="T00323"/>
        <s v="T00324"/>
        <s v="T00325"/>
        <s v="T00326"/>
        <s v="T00327"/>
        <s v="T00328"/>
        <s v="T00329"/>
        <s v="T00330"/>
        <s v="T00331"/>
        <s v="T00332"/>
        <s v="T00333"/>
        <s v="T00334"/>
        <s v="T00335"/>
        <s v="T00336"/>
        <s v="T00337"/>
        <s v="T00338"/>
        <s v="T00339"/>
        <s v="T00340"/>
        <s v="T00341"/>
        <s v="T00342"/>
        <s v="T00343"/>
        <s v="T00344"/>
        <s v="T00345"/>
        <s v="T00346"/>
        <s v="T00347"/>
        <s v="T00348"/>
        <s v="T00349"/>
        <s v="T00350"/>
        <s v="T00351"/>
        <s v="T00352"/>
        <s v="T00353"/>
        <s v="T00354"/>
        <s v="T00355"/>
        <s v="T00356"/>
        <s v="T00357"/>
        <s v="T00358"/>
        <s v="T00359"/>
        <s v="T00360"/>
        <s v="T00361"/>
        <s v="T00362"/>
        <s v="T00363"/>
        <s v="T00364"/>
        <s v="T00365"/>
        <s v="T00366"/>
        <s v="T00367"/>
        <s v="T00368"/>
        <s v="T00369"/>
        <s v="T00370"/>
        <s v="T00371"/>
        <s v="T00372"/>
        <s v="T00373"/>
        <s v="T00374"/>
        <s v="T00375"/>
        <s v="T00376"/>
        <s v="T00377"/>
        <s v="T00378"/>
        <s v="T00379"/>
        <s v="T00380"/>
        <s v="T00381"/>
        <s v="T00382"/>
        <s v="T00383"/>
        <s v="T00384"/>
        <s v="T00385"/>
        <s v="T00386"/>
        <s v="T00387"/>
        <s v="T00388"/>
        <s v="T00389"/>
        <s v="T00390"/>
        <s v="T00391"/>
        <s v="T00392"/>
        <s v="T00393"/>
        <s v="T00394"/>
        <s v="T00395"/>
        <s v="T00396"/>
        <s v="T00397"/>
        <s v="T00398"/>
        <s v="T00399"/>
        <s v="T00400"/>
        <s v="T00401"/>
        <s v="T00402"/>
        <s v="T00403"/>
        <s v="T00404"/>
        <s v="T00405"/>
        <s v="T00406"/>
        <s v="T00407"/>
        <s v="T00408"/>
        <s v="T00409"/>
        <s v="T00410"/>
        <s v="T00411"/>
        <s v="T00412"/>
        <s v="T00413"/>
        <s v="T00414"/>
        <s v="T00415"/>
        <s v="T00416"/>
        <s v="T00417"/>
        <s v="T00418"/>
        <s v="T00419"/>
        <s v="T00420"/>
        <s v="T00421"/>
        <s v="T00422"/>
        <s v="T00423"/>
        <s v="T00424"/>
        <s v="T00425"/>
        <s v="T00426"/>
        <s v="T00427"/>
        <s v="T00428"/>
        <s v="T00429"/>
        <s v="T00430"/>
        <s v="T00431"/>
        <s v="T00432"/>
        <s v="T00433"/>
        <s v="T00434"/>
        <s v="T00435"/>
        <s v="T00436"/>
        <s v="T00437"/>
        <s v="T00438"/>
        <s v="T00439"/>
        <s v="T00440"/>
        <s v="T00441"/>
        <s v="T00442"/>
        <s v="T00443"/>
        <s v="T00444"/>
        <s v="T00445"/>
        <s v="T00446"/>
        <s v="T00447"/>
        <s v="T00448"/>
        <s v="T00449"/>
        <s v="T00450"/>
        <s v="T00451"/>
        <s v="T00452"/>
        <s v="T00453"/>
        <s v="T00454"/>
        <s v="T00455"/>
        <s v="T00456"/>
        <s v="T00457"/>
        <s v="T00458"/>
        <s v="T00459"/>
        <s v="T00460"/>
        <s v="T00461"/>
        <s v="T00462"/>
        <s v="T00463"/>
        <s v="T00464"/>
        <s v="T00465"/>
        <s v="T00466"/>
        <s v="T00467"/>
        <s v="T00468"/>
        <s v="T00469"/>
        <s v="T00470"/>
        <s v="T00471"/>
        <s v="T00472"/>
        <s v="T00473"/>
        <s v="T00474"/>
        <s v="T00475"/>
        <s v="T00476"/>
        <s v="T00477"/>
        <s v="T00478"/>
        <s v="T00479"/>
        <s v="T00480"/>
        <s v="T00481"/>
        <s v="T00482"/>
        <s v="T00483"/>
        <s v="T00484"/>
        <s v="T00485"/>
        <s v="T00486"/>
        <s v="T00487"/>
        <s v="T00488"/>
        <s v="T00489"/>
        <s v="T00490"/>
        <s v="T00491"/>
        <s v="T00492"/>
        <s v="T00493"/>
        <s v="T00494"/>
        <s v="T00495"/>
        <s v="T00496"/>
        <s v="T00497"/>
        <s v="T00498"/>
        <s v="T00499"/>
        <s v="T00500"/>
        <s v="T00501"/>
        <s v="T00502"/>
        <s v="T00503"/>
        <s v="T00504"/>
        <s v="T00505"/>
        <s v="T00506"/>
        <s v="T00507"/>
        <s v="T00508"/>
        <s v="T00509"/>
        <s v="T00510"/>
        <s v="T00511"/>
        <s v="T00512"/>
        <s v="T00513"/>
        <s v="T00514"/>
        <s v="T00515"/>
        <s v="T00516"/>
        <s v="T00517"/>
        <s v="T00518"/>
        <s v="T00519"/>
        <s v="T00520"/>
        <s v="T00521"/>
        <s v="T00522"/>
        <s v="T00523"/>
        <s v="T00524"/>
        <s v="T00525"/>
        <s v="T00526"/>
        <s v="T00527"/>
        <s v="T00528"/>
        <s v="T00529"/>
        <s v="T00530"/>
        <s v="T00531"/>
        <s v="T00532"/>
        <s v="T00533"/>
        <s v="T00534"/>
        <s v="T00535"/>
        <s v="T00536"/>
        <s v="T00537"/>
        <s v="T00538"/>
        <s v="T00539"/>
        <s v="T00540"/>
        <s v="T00541"/>
        <s v="T00542"/>
        <s v="T00543"/>
        <s v="T00544"/>
        <s v="T00545"/>
        <s v="T00546"/>
        <s v="T00547"/>
        <s v="T00548"/>
        <s v="T00549"/>
        <s v="T00550"/>
        <s v="T00551"/>
        <s v="T00552"/>
        <s v="T00553"/>
        <s v="T00554"/>
        <s v="T00555"/>
        <s v="T00556"/>
        <s v="T00557"/>
        <s v="T00558"/>
        <s v="T00559"/>
        <s v="T00560"/>
        <s v="T00561"/>
        <s v="T00562"/>
        <s v="T00563"/>
        <s v="T00564"/>
        <s v="T00565"/>
        <s v="T00566"/>
        <s v="T00567"/>
        <s v="T00568"/>
        <s v="T00569"/>
        <s v="T00570"/>
        <s v="T00571"/>
        <s v="T00572"/>
        <s v="T00573"/>
        <s v="T00574"/>
        <s v="T00575"/>
        <s v="T00576"/>
        <s v="T00577"/>
        <s v="T00578"/>
        <s v="T00579"/>
        <s v="T00580"/>
        <s v="T00581"/>
        <s v="T00582"/>
        <s v="T00583"/>
        <s v="T00584"/>
        <s v="T00585"/>
        <s v="T00586"/>
        <s v="T00587"/>
        <s v="T00588"/>
        <s v="T00589"/>
        <s v="T00590"/>
        <s v="T00591"/>
        <s v="T00592"/>
        <s v="T00593"/>
        <s v="T00594"/>
        <s v="T00595"/>
        <s v="T00596"/>
        <s v="T00597"/>
        <s v="T00598"/>
        <s v="T00599"/>
        <s v="T00600"/>
        <s v="T00601"/>
        <s v="T00602"/>
        <s v="T00603"/>
        <s v="T00604"/>
        <s v="T00605"/>
        <s v="T00606"/>
        <s v="T00607"/>
        <s v="T00608"/>
        <s v="T00609"/>
        <s v="T00610"/>
        <s v="T00611"/>
        <s v="T00612"/>
        <s v="T00613"/>
        <s v="T00614"/>
        <s v="T00615"/>
        <s v="T00616"/>
        <s v="T00617"/>
        <s v="T00618"/>
        <s v="T00619"/>
        <s v="T00620"/>
        <s v="T00621"/>
        <s v="T00622"/>
        <s v="T00623"/>
        <s v="T00624"/>
        <s v="T00625"/>
        <s v="T00626"/>
        <s v="T00627"/>
        <s v="T00628"/>
        <s v="T00629"/>
        <s v="T00630"/>
        <s v="T00631"/>
        <s v="T00632"/>
        <s v="T00633"/>
        <s v="T00634"/>
        <s v="T00635"/>
        <s v="T00636"/>
        <s v="T00637"/>
        <s v="T00638"/>
        <s v="T00639"/>
        <s v="T00640"/>
        <s v="T00641"/>
        <s v="T00642"/>
        <s v="T00643"/>
        <s v="T00644"/>
        <s v="T00645"/>
        <s v="T00646"/>
        <s v="T00647"/>
        <s v="T00648"/>
        <s v="T00649"/>
        <s v="T00650"/>
        <s v="T00651"/>
        <s v="T00652"/>
        <s v="T00653"/>
        <s v="T00654"/>
        <s v="T00655"/>
        <s v="T00656"/>
        <s v="T00657"/>
        <s v="T00658"/>
        <s v="T00659"/>
        <s v="T00660"/>
        <s v="T00661"/>
        <s v="T00662"/>
        <s v="T00663"/>
        <s v="T00664"/>
        <s v="T00665"/>
        <s v="T00666"/>
        <s v="T00667"/>
        <s v="T00668"/>
        <s v="T00669"/>
        <s v="T00670"/>
        <s v="T00671"/>
        <s v="T00672"/>
        <s v="T00673"/>
        <s v="T00674"/>
        <s v="T00675"/>
        <s v="T00676"/>
        <s v="T00677"/>
        <s v="T00678"/>
        <s v="T00679"/>
        <s v="T00680"/>
        <s v="T00681"/>
        <s v="T00682"/>
        <s v="T00683"/>
        <s v="T00684"/>
        <s v="T00685"/>
        <s v="T00686"/>
        <s v="T00687"/>
        <s v="T00688"/>
        <s v="T00689"/>
        <s v="T00690"/>
        <s v="T00691"/>
        <s v="T00692"/>
        <s v="T00693"/>
        <s v="T00694"/>
        <s v="T00695"/>
        <s v="T00696"/>
        <s v="T00697"/>
        <s v="T00698"/>
        <s v="T00699"/>
        <s v="T00700"/>
        <s v="T00701"/>
        <s v="T00702"/>
        <s v="T00703"/>
        <s v="T00704"/>
        <s v="T00705"/>
        <s v="T00706"/>
        <s v="T00707"/>
        <s v="T00708"/>
        <s v="T00709"/>
        <s v="T00710"/>
        <s v="T00711"/>
        <s v="T00712"/>
        <s v="T00713"/>
        <s v="T00714"/>
        <s v="T00715"/>
        <s v="T00716"/>
        <s v="T00717"/>
        <s v="T00718"/>
        <s v="T00719"/>
        <s v="T00720"/>
        <s v="T00721"/>
        <s v="T00722"/>
        <s v="T00723"/>
        <s v="T00724"/>
        <s v="T00725"/>
        <s v="T00726"/>
        <s v="T00727"/>
        <s v="T00728"/>
        <s v="T00729"/>
        <s v="T00730"/>
        <s v="T00731"/>
        <s v="T00732"/>
        <s v="T00733"/>
        <s v="T00734"/>
        <s v="T00735"/>
        <s v="T00736"/>
        <s v="T00737"/>
        <s v="T00738"/>
        <s v="T00739"/>
        <s v="T00740"/>
        <s v="T00741"/>
        <s v="T00742"/>
        <s v="T00743"/>
        <s v="T00744"/>
        <s v="T00745"/>
        <s v="T00746"/>
        <s v="T00747"/>
        <s v="T00748"/>
        <s v="T00749"/>
        <s v="T00750"/>
        <s v="T00751"/>
        <s v="T00752"/>
        <s v="T00753"/>
        <s v="T00754"/>
        <s v="T00755"/>
        <s v="T00756"/>
        <s v="T00757"/>
        <s v="T00758"/>
        <s v="T00759"/>
        <s v="T00760"/>
        <s v="T00761"/>
        <s v="T00762"/>
        <s v="T00763"/>
        <s v="T00764"/>
        <s v="T00765"/>
        <s v="T00766"/>
        <s v="T00767"/>
        <s v="T00768"/>
        <s v="T00769"/>
        <s v="T00770"/>
        <s v="T00771"/>
        <s v="T00772"/>
        <s v="T00773"/>
        <s v="T00774"/>
        <s v="T00775"/>
        <s v="T00776"/>
        <s v="T00777"/>
        <s v="T00778"/>
        <s v="T00779"/>
        <s v="T00780"/>
        <s v="T00781"/>
        <s v="T00782"/>
        <s v="T00783"/>
        <s v="T00784"/>
        <s v="T00785"/>
        <s v="T00786"/>
        <s v="T00787"/>
        <s v="T00788"/>
        <s v="T00789"/>
        <s v="T00790"/>
        <s v="T00791"/>
        <s v="T00792"/>
        <s v="T00793"/>
        <s v="T00794"/>
        <s v="T00795"/>
        <s v="T00796"/>
        <s v="T00797"/>
        <s v="T00798"/>
        <s v="T00799"/>
        <s v="T00800"/>
        <s v="T00801"/>
        <s v="T00802"/>
        <s v="T00803"/>
        <s v="T00804"/>
        <s v="T00805"/>
        <s v="T00806"/>
        <s v="T00807"/>
        <s v="T00808"/>
        <s v="T00809"/>
        <s v="T00810"/>
        <s v="T00811"/>
        <s v="T00812"/>
        <s v="T00813"/>
        <s v="T00814"/>
        <s v="T00815"/>
        <s v="T00816"/>
        <s v="T00817"/>
        <s v="T00818"/>
        <s v="T00819"/>
        <s v="T00820"/>
        <s v="T00821"/>
        <s v="T00822"/>
        <s v="T00823"/>
        <s v="T00824"/>
        <s v="T00825"/>
        <s v="T00826"/>
        <s v="T00827"/>
        <s v="T00828"/>
        <s v="T00829"/>
        <s v="T00830"/>
        <s v="T00831"/>
        <s v="T00832"/>
        <s v="T00833"/>
        <s v="T00834"/>
        <s v="T00835"/>
        <s v="T00836"/>
        <s v="T00837"/>
        <s v="T00838"/>
        <s v="T00839"/>
        <s v="T00840"/>
        <s v="T00841"/>
        <s v="T00842"/>
        <s v="T00843"/>
        <s v="T00844"/>
        <s v="T00845"/>
        <s v="T00846"/>
        <s v="T00847"/>
        <s v="T00848"/>
        <s v="T00849"/>
        <s v="T00850"/>
        <s v="T00851"/>
        <s v="T00852"/>
        <s v="T00853"/>
        <s v="T00854"/>
        <s v="T00855"/>
        <s v="T00856"/>
        <s v="T00857"/>
        <s v="T00858"/>
        <s v="T00859"/>
        <s v="T00860"/>
        <s v="T00861"/>
        <s v="T00862"/>
        <s v="T00863"/>
        <s v="T00864"/>
        <s v="T00865"/>
        <s v="T00866"/>
        <s v="T00867"/>
        <s v="T00868"/>
        <s v="T00869"/>
        <s v="T00870"/>
        <s v="T00871"/>
        <s v="T00872"/>
        <s v="T00873"/>
        <s v="T00874"/>
        <s v="T00875"/>
        <s v="T00876"/>
        <s v="T00877"/>
        <s v="T00878"/>
        <s v="T00879"/>
        <s v="T00880"/>
        <s v="T00881"/>
        <s v="T00882"/>
        <s v="T00883"/>
        <s v="T00884"/>
        <s v="T00885"/>
        <s v="T00886"/>
        <s v="T00887"/>
        <s v="T00888"/>
        <s v="T00889"/>
        <s v="T00890"/>
        <s v="T00891"/>
        <s v="T00892"/>
        <s v="T00893"/>
        <s v="T00894"/>
        <s v="T00895"/>
        <s v="T00896"/>
        <s v="T00897"/>
        <s v="T00898"/>
        <s v="T00899"/>
        <s v="T00900"/>
        <s v="T00901"/>
        <s v="T00902"/>
        <s v="T00903"/>
        <s v="T00904"/>
        <s v="T00905"/>
        <s v="T00906"/>
        <s v="T00907"/>
        <s v="T00908"/>
        <s v="T00909"/>
        <s v="T00910"/>
        <s v="T00911"/>
        <s v="T00912"/>
        <s v="T00913"/>
        <s v="T00914"/>
        <s v="T00915"/>
        <s v="T00916"/>
        <s v="T00917"/>
        <s v="T00918"/>
        <s v="T00919"/>
        <s v="T00920"/>
        <s v="T00921"/>
        <s v="T00922"/>
        <s v="T00923"/>
        <s v="T00924"/>
        <s v="T00925"/>
        <s v="T00926"/>
        <s v="T00927"/>
        <s v="T00928"/>
        <s v="T00929"/>
        <s v="T00930"/>
        <s v="T00931"/>
        <s v="T00932"/>
        <s v="T00933"/>
        <s v="T00934"/>
        <s v="T00935"/>
        <s v="T00936"/>
        <s v="T00937"/>
        <s v="T00938"/>
        <s v="T00939"/>
        <s v="T00940"/>
        <s v="T00941"/>
        <s v="T00942"/>
        <s v="T00943"/>
        <s v="T00944"/>
        <s v="T00945"/>
        <s v="T00946"/>
        <s v="T00947"/>
        <s v="T00948"/>
        <s v="T00949"/>
        <s v="T00950"/>
        <s v="T00951"/>
        <s v="T00952"/>
        <s v="T00953"/>
        <s v="T00954"/>
        <s v="T00955"/>
        <s v="T00956"/>
        <s v="T00957"/>
        <s v="T00958"/>
        <s v="T00959"/>
        <s v="T00960"/>
        <s v="T00961"/>
        <s v="T00962"/>
        <s v="T00963"/>
        <s v="T00964"/>
        <s v="T00965"/>
        <s v="T00966"/>
        <s v="T00967"/>
        <s v="T00968"/>
        <s v="T00969"/>
        <s v="T00970"/>
        <s v="T00971"/>
        <s v="T00972"/>
        <s v="T00973"/>
        <s v="T00974"/>
        <s v="T00975"/>
        <s v="T00976"/>
        <s v="T00977"/>
        <s v="T00978"/>
        <s v="T00979"/>
        <s v="T00980"/>
        <s v="T00981"/>
        <s v="T00982"/>
        <s v="T00983"/>
        <s v="T00984"/>
        <s v="T00985"/>
        <s v="T00986"/>
        <s v="T00987"/>
        <s v="T00988"/>
        <s v="T00989"/>
        <s v="T00990"/>
        <s v="T00991"/>
        <s v="T00992"/>
        <s v="T00993"/>
        <s v="T00994"/>
        <s v="T00995"/>
        <s v="T00996"/>
        <s v="T00997"/>
        <s v="T00998"/>
        <s v="T00999"/>
        <s v="T01000"/>
      </sharedItems>
    </cacheField>
    <cacheField name="Date" numFmtId="14">
      <sharedItems containsSemiMixedTypes="0" containsNonDate="0" containsDate="1" containsString="0" minDate="2026-06-01T00:00:00" maxDate="2026-08-31T00:00:00" count="91">
        <d v="2026-06-10T00:00:00"/>
        <d v="2026-07-07T00:00:00"/>
        <d v="2026-08-30T00:00:00"/>
        <d v="2026-07-20T00:00:00"/>
        <d v="2026-06-04T00:00:00"/>
        <d v="2026-06-18T00:00:00"/>
        <d v="2026-07-27T00:00:00"/>
        <d v="2026-08-04T00:00:00"/>
        <d v="2026-07-08T00:00:00"/>
        <d v="2026-08-19T00:00:00"/>
        <d v="2026-06-15T00:00:00"/>
        <d v="2026-07-28T00:00:00"/>
        <d v="2026-07-11T00:00:00"/>
        <d v="2026-07-17T00:00:00"/>
        <d v="2026-06-01T00:00:00"/>
        <d v="2026-08-09T00:00:00"/>
        <d v="2026-06-02T00:00:00"/>
        <d v="2026-08-08T00:00:00"/>
        <d v="2026-08-11T00:00:00"/>
        <d v="2026-06-19T00:00:00"/>
        <d v="2026-08-29T00:00:00"/>
        <d v="2026-06-06T00:00:00"/>
        <d v="2026-06-28T00:00:00"/>
        <d v="2026-08-23T00:00:00"/>
        <d v="2026-06-12T00:00:00"/>
        <d v="2026-06-27T00:00:00"/>
        <d v="2026-08-18T00:00:00"/>
        <d v="2026-06-29T00:00:00"/>
        <d v="2026-07-15T00:00:00"/>
        <d v="2026-07-18T00:00:00"/>
        <d v="2026-06-17T00:00:00"/>
        <d v="2026-06-25T00:00:00"/>
        <d v="2026-06-30T00:00:00"/>
        <d v="2026-08-02T00:00:00"/>
        <d v="2026-06-05T00:00:00"/>
        <d v="2026-06-03T00:00:00"/>
        <d v="2026-07-12T00:00:00"/>
        <d v="2026-08-13T00:00:00"/>
        <d v="2026-08-25T00:00:00"/>
        <d v="2026-07-06T00:00:00"/>
        <d v="2026-07-24T00:00:00"/>
        <d v="2026-07-04T00:00:00"/>
        <d v="2026-08-01T00:00:00"/>
        <d v="2026-06-26T00:00:00"/>
        <d v="2026-06-22T00:00:00"/>
        <d v="2026-07-14T00:00:00"/>
        <d v="2026-06-21T00:00:00"/>
        <d v="2026-07-16T00:00:00"/>
        <d v="2026-08-15T00:00:00"/>
        <d v="2026-08-14T00:00:00"/>
        <d v="2026-08-03T00:00:00"/>
        <d v="2026-07-25T00:00:00"/>
        <d v="2026-08-22T00:00:00"/>
        <d v="2026-07-09T00:00:00"/>
        <d v="2026-08-07T00:00:00"/>
        <d v="2026-07-13T00:00:00"/>
        <d v="2026-06-13T00:00:00"/>
        <d v="2026-07-30T00:00:00"/>
        <d v="2026-08-17T00:00:00"/>
        <d v="2026-07-03T00:00:00"/>
        <d v="2026-07-23T00:00:00"/>
        <d v="2026-07-05T00:00:00"/>
        <d v="2026-07-26T00:00:00"/>
        <d v="2026-08-28T00:00:00"/>
        <d v="2026-08-06T00:00:00"/>
        <d v="2026-08-24T00:00:00"/>
        <d v="2026-08-16T00:00:00"/>
        <d v="2026-06-07T00:00:00"/>
        <d v="2026-07-21T00:00:00"/>
        <d v="2026-07-19T00:00:00"/>
        <d v="2026-07-02T00:00:00"/>
        <d v="2026-07-10T00:00:00"/>
        <d v="2026-06-08T00:00:00"/>
        <d v="2026-06-20T00:00:00"/>
        <d v="2026-08-26T00:00:00"/>
        <d v="2026-06-11T00:00:00"/>
        <d v="2026-08-27T00:00:00"/>
        <d v="2026-08-10T00:00:00"/>
        <d v="2026-06-24T00:00:00"/>
        <d v="2026-06-16T00:00:00"/>
        <d v="2026-08-12T00:00:00"/>
        <d v="2026-06-23T00:00:00"/>
        <d v="2026-08-05T00:00:00"/>
        <d v="2026-08-21T00:00:00"/>
        <d v="2026-06-09T00:00:00"/>
        <d v="2026-07-01T00:00:00"/>
        <d v="2026-07-31T00:00:00"/>
        <d v="2026-07-22T00:00:00"/>
        <d v="2026-07-29T00:00:00"/>
        <d v="2026-06-14T00:00:00"/>
        <d v="2026-08-20T00:00:00"/>
      </sharedItems>
      <fieldGroup par="15"/>
    </cacheField>
    <cacheField name="Time" numFmtId="0">
      <sharedItems/>
    </cacheField>
    <cacheField name="Day" numFmtId="0">
      <sharedItems count="7">
        <s v="Wednesday"/>
        <s v="Tuesday"/>
        <s v="Sunday"/>
        <s v="Monday"/>
        <s v="Thursday"/>
        <s v="Saturday"/>
        <s v="Friday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 Price (£)" numFmtId="164">
      <sharedItems containsSemiMixedTypes="0" containsString="0" containsNumber="1" minValue="0.81" maxValue="3.99"/>
    </cacheField>
    <cacheField name="Promotion" numFmtId="0">
      <sharedItems/>
    </cacheField>
    <cacheField name="Stock Before Sale" numFmtId="0">
      <sharedItems containsSemiMixedTypes="0" containsString="0" containsNumber="1" containsInteger="1" minValue="3" maxValue="60"/>
    </cacheField>
    <cacheField name="Waste Quantity" numFmtId="0">
      <sharedItems containsSemiMixedTypes="0" containsString="0" containsNumber="1" containsInteger="1" minValue="0" maxValue="3"/>
    </cacheField>
    <cacheField name="Staff on Shift" numFmtId="0">
      <sharedItems containsSemiMixedTypes="0" containsString="0" containsNumber="1" containsInteger="1" minValue="4" maxValue="9"/>
    </cacheField>
    <cacheField name="Checkout Wait (mins)" numFmtId="165">
      <sharedItems containsSemiMixedTypes="0" containsString="0" containsNumber="1" minValue="1" maxValue="6.9"/>
    </cacheField>
    <cacheField name="Revenue (£)" numFmtId="164">
      <sharedItems containsSemiMixedTypes="0" containsString="0" containsNumber="1" minValue="0.81" maxValue="15.96"/>
    </cacheField>
    <cacheField name="Days (Date)" numFmtId="0" databaseField="0">
      <fieldGroup base="1">
        <rangePr groupBy="days" startDate="2026-06-01T00:00:00" endDate="2026-08-31T00:00:00"/>
        <groupItems count="368">
          <s v="&lt;01/06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08/2026"/>
        </groupItems>
      </fieldGroup>
    </cacheField>
    <cacheField name="Months (Date)" numFmtId="0" databaseField="0">
      <fieldGroup base="1">
        <rangePr groupBy="months" startDate="2026-06-01T00:00:00" endDate="2026-08-31T00:00:00"/>
        <groupItems count="14">
          <s v="&lt;01/06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fa Khaleeq" refreshedDate="46276.004228587961" backgroundQuery="1" createdVersion="8" refreshedVersion="8" minRefreshableVersion="3" recordCount="0" supportSubquery="1" supportAdvancedDrill="1" xr:uid="{CBEEBD86-F020-4FF4-8CD2-1F549DBB4E85}">
  <cacheSource type="external" connectionId="2"/>
  <cacheFields count="3">
    <cacheField name="[RetailTransactions].[Day].[Day]" caption="Day" numFmtId="0" hierarchy="3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RetailTransactions].[Category].[Category]" caption="Category" numFmtId="0" hierarchy="5" level="1">
      <sharedItems count="6">
        <s v="Bakery"/>
        <s v="Dairy"/>
        <s v="Drinks"/>
        <s v="Fresh Produce"/>
        <s v="Frozen"/>
        <s v="Household"/>
      </sharedItems>
    </cacheField>
    <cacheField name="[Measures].[Sum of Waste Quantity]" caption="Sum of Waste Quantity" numFmtId="0" hierarchy="30" level="32767"/>
  </cacheFields>
  <cacheHierarchies count="31">
    <cacheHierarchy uniqueName="[RetailTransactions].[Transaction ID]" caption="Transaction ID" attribute="1" defaultMemberUniqueName="[RetailTransactions].[Transaction ID].[All]" allUniqueName="[RetailTransactions].[Transaction ID].[All]" dimensionUniqueName="[RetailTransactions]" displayFolder="" count="0" memberValueDatatype="130" unbalanced="0"/>
    <cacheHierarchy uniqueName="[RetailTransactions].[Date]" caption="Date" attribute="1" time="1" defaultMemberUniqueName="[RetailTransactions].[Date].[All]" allUniqueName="[RetailTransactions].[Date].[All]" dimensionUniqueName="[RetailTransactions]" displayFolder="" count="0" memberValueDatatype="7" unbalanced="0"/>
    <cacheHierarchy uniqueName="[RetailTransactions].[Time]" caption="Time" attribute="1" defaultMemberUniqueName="[RetailTransactions].[Time].[All]" allUniqueName="[RetailTransactions].[Time].[All]" dimensionUniqueName="[RetailTransactions]" displayFolder="" count="0" memberValueDatatype="130" unbalanced="0"/>
    <cacheHierarchy uniqueName="[RetailTransactions].[Day]" caption="Day" attribute="1" defaultMemberUniqueName="[RetailTransactions].[Day].[All]" allUniqueName="[RetailTransactions].[Day].[All]" dimensionUniqueName="[RetailTransactions]" displayFolder="" count="2" memberValueDatatype="130" unbalanced="0">
      <fieldsUsage count="2">
        <fieldUsage x="-1"/>
        <fieldUsage x="0"/>
      </fieldsUsage>
    </cacheHierarchy>
    <cacheHierarchy uniqueName="[RetailTransactions].[Product]" caption="Product" attribute="1" defaultMemberUniqueName="[RetailTransactions].[Product].[All]" allUniqueName="[RetailTransactions].[Product].[All]" dimensionUniqueName="[RetailTransactions]" displayFolder="" count="0" memberValueDatatype="130" unbalanced="0"/>
    <cacheHierarchy uniqueName="[RetailTransactions].[Category]" caption="Category" attribute="1" defaultMemberUniqueName="[RetailTransactions].[Category].[All]" allUniqueName="[RetailTransactions].[Category].[All]" dimensionUniqueName="[RetailTransactions]" displayFolder="" count="2" memberValueDatatype="130" unbalanced="0">
      <fieldsUsage count="2">
        <fieldUsage x="-1"/>
        <fieldUsage x="1"/>
      </fieldsUsage>
    </cacheHierarchy>
    <cacheHierarchy uniqueName="[RetailTransactions].[Quantity]" caption="Quantity" attribute="1" defaultMemberUniqueName="[RetailTransactions].[Quantity].[All]" allUniqueName="[RetailTransactions].[Quantity].[All]" dimensionUniqueName="[RetailTransactions]" displayFolder="" count="0" memberValueDatatype="20" unbalanced="0"/>
    <cacheHierarchy uniqueName="[RetailTransactions].[Unit Price (£)]" caption="Unit Price (£)" attribute="1" defaultMemberUniqueName="[RetailTransactions].[Unit Price (£)].[All]" allUniqueName="[RetailTransactions].[Unit Price (£)].[All]" dimensionUniqueName="[RetailTransactions]" displayFolder="" count="0" memberValueDatatype="5" unbalanced="0"/>
    <cacheHierarchy uniqueName="[RetailTransactions].[Promotion]" caption="Promotion" attribute="1" defaultMemberUniqueName="[RetailTransactions].[Promotion].[All]" allUniqueName="[RetailTransactions].[Promotion].[All]" dimensionUniqueName="[RetailTransactions]" displayFolder="" count="0" memberValueDatatype="130" unbalanced="0"/>
    <cacheHierarchy uniqueName="[RetailTransactions].[Stock Before Sale]" caption="Stock Before Sale" attribute="1" defaultMemberUniqueName="[RetailTransactions].[Stock Before Sale].[All]" allUniqueName="[RetailTransactions].[Stock Before Sale].[All]" dimensionUniqueName="[RetailTransactions]" displayFolder="" count="0" memberValueDatatype="20" unbalanced="0"/>
    <cacheHierarchy uniqueName="[RetailTransactions].[Waste Quantity]" caption="Waste Quantity" attribute="1" defaultMemberUniqueName="[RetailTransactions].[Waste Quantity].[All]" allUniqueName="[RetailTransactions].[Waste Quantity].[All]" dimensionUniqueName="[RetailTransactions]" displayFolder="" count="0" memberValueDatatype="20" unbalanced="0"/>
    <cacheHierarchy uniqueName="[RetailTransactions].[Staff on Shift]" caption="Staff on Shift" attribute="1" defaultMemberUniqueName="[RetailTransactions].[Staff on Shift].[All]" allUniqueName="[RetailTransactions].[Staff on Shift].[All]" dimensionUniqueName="[RetailTransactions]" displayFolder="" count="0" memberValueDatatype="20" unbalanced="0"/>
    <cacheHierarchy uniqueName="[RetailTransactions].[Checkout Wait (mins)]" caption="Checkout Wait (mins)" attribute="1" defaultMemberUniqueName="[RetailTransactions].[Checkout Wait (mins)].[All]" allUniqueName="[RetailTransactions].[Checkout Wait (mins)].[All]" dimensionUniqueName="[RetailTransactions]" displayFolder="" count="0" memberValueDatatype="5" unbalanced="0"/>
    <cacheHierarchy uniqueName="[RetailTransactions].[Revenue (£)]" caption="Revenue (£)" attribute="1" defaultMemberUniqueName="[RetailTransactions].[Revenue (£)].[All]" allUniqueName="[RetailTransactions].[Revenue (£)].[All]" dimensionUniqueName="[RetailTransactions]" displayFolder="" count="0" memberValueDatatype="5" unbalanced="0"/>
    <cacheHierarchy uniqueName="[RetailTransactions].[Hours]" caption="Hours" attribute="1" defaultMemberUniqueName="[RetailTransactions].[Hours].[All]" allUniqueName="[RetailTransactions].[Hours].[All]" dimensionUniqueName="[RetailTransactions]" displayFolder="" count="2" memberValueDatatype="20" unbalanced="0"/>
    <cacheHierarchy uniqueName="[Measures].[__XL_Count RetailTransactions]" caption="__XL_Count RetailTransactions" measure="1" displayFolder="" measureGroup="RetailTransactions" count="0" hidden="1"/>
    <cacheHierarchy uniqueName="[Measures].[__No measures defined]" caption="__No measures defined" measure="1" displayFolder="" count="0" hidden="1"/>
    <cacheHierarchy uniqueName="[Measures].[Count of Transaction ID]" caption="Count of Transaction ID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 (£)]" caption="Sum of Revenue (£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Revenue (£)]" caption="Average of Revenue (£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Revenue (£)]" caption="Max of Revenue (£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Revenue (£)]" caption="Distinct Count of Revenue (£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Unit Price (£)]" caption="Sum of Unit Price (£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Unit Price (£)]" caption="Average of Unit Price (£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eckout Wait (mins)]" caption="Sum of Checkout Wait (mins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Checkout Wait (mins)]" caption="Average of Checkout Wait (mins)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ff on Shift]" caption="Sum of Staff on Shift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taff on Shift]" caption="Average of Staff on Shift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ime]" caption="Count of Time" measure="1" displayFolder="" measureGroup="RetailTransaction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Waste Quantity]" caption="Sum of Waste Quantity" measure="1" displayFolder="" measureGroup="Retail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etailTransactions" uniqueName="[RetailTransactions]" caption="RetailTransactions"/>
  </dimensions>
  <measureGroups count="1">
    <measureGroup name="RetailTransactions" caption="RetailTransaction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16:35"/>
    <x v="0"/>
    <s v="Cola 2L"/>
    <s v="Drinks"/>
    <n v="2"/>
    <n v="1.75"/>
    <s v="No"/>
    <n v="34"/>
    <n v="0"/>
    <n v="5"/>
    <n v="4.3"/>
    <n v="3.5"/>
  </r>
  <r>
    <x v="1"/>
    <x v="1"/>
    <s v="16:10"/>
    <x v="1"/>
    <s v="Bananas"/>
    <s v="Fresh Produce"/>
    <n v="1"/>
    <n v="0.95"/>
    <s v="No"/>
    <n v="18"/>
    <n v="0"/>
    <n v="4"/>
    <n v="3.6"/>
    <n v="0.95"/>
  </r>
  <r>
    <x v="2"/>
    <x v="2"/>
    <s v="13:25"/>
    <x v="2"/>
    <s v="Kitchen Roll"/>
    <s v="Household"/>
    <n v="4"/>
    <n v="2.8"/>
    <s v="Yes"/>
    <n v="52"/>
    <n v="0"/>
    <n v="7"/>
    <n v="6.3"/>
    <n v="11.2"/>
  </r>
  <r>
    <x v="3"/>
    <x v="3"/>
    <s v="21:25"/>
    <x v="3"/>
    <s v="Tomatoes"/>
    <s v="Fresh Produce"/>
    <n v="2"/>
    <n v="1.49"/>
    <s v="No"/>
    <n v="3"/>
    <n v="0"/>
    <n v="7"/>
    <n v="1.7"/>
    <n v="2.98"/>
  </r>
  <r>
    <x v="4"/>
    <x v="4"/>
    <s v="12:10"/>
    <x v="4"/>
    <s v="Cheddar Cheese"/>
    <s v="Dairy"/>
    <n v="1"/>
    <n v="2.79"/>
    <s v="No"/>
    <n v="28"/>
    <n v="0"/>
    <n v="8"/>
    <n v="5.7"/>
    <n v="2.79"/>
  </r>
  <r>
    <x v="5"/>
    <x v="5"/>
    <s v="15:40"/>
    <x v="4"/>
    <s v="White Bread"/>
    <s v="Bakery"/>
    <n v="3"/>
    <n v="1.39"/>
    <s v="No"/>
    <n v="30"/>
    <n v="0"/>
    <n v="4"/>
    <n v="3.5"/>
    <n v="4.17"/>
  </r>
  <r>
    <x v="6"/>
    <x v="6"/>
    <s v="13:00"/>
    <x v="3"/>
    <s v="Apples"/>
    <s v="Fresh Produce"/>
    <n v="3"/>
    <n v="1.79"/>
    <s v="No"/>
    <n v="18"/>
    <n v="0"/>
    <n v="9"/>
    <n v="4.9000000000000004"/>
    <n v="5.37"/>
  </r>
  <r>
    <x v="7"/>
    <x v="7"/>
    <s v="17:40"/>
    <x v="1"/>
    <s v="Ice Cream"/>
    <s v="Frozen"/>
    <n v="1"/>
    <n v="3.36"/>
    <s v="Yes"/>
    <n v="20"/>
    <n v="0"/>
    <n v="7"/>
    <n v="3.8"/>
    <n v="3.36"/>
  </r>
  <r>
    <x v="8"/>
    <x v="8"/>
    <s v="11:50"/>
    <x v="0"/>
    <s v="Cheddar Cheese"/>
    <s v="Dairy"/>
    <n v="3"/>
    <n v="2.79"/>
    <s v="No"/>
    <n v="41"/>
    <n v="0"/>
    <n v="6"/>
    <n v="2"/>
    <n v="8.370000000000001"/>
  </r>
  <r>
    <x v="9"/>
    <x v="9"/>
    <s v="11:00"/>
    <x v="0"/>
    <s v="Cheddar Cheese"/>
    <s v="Dairy"/>
    <n v="1"/>
    <n v="2.37"/>
    <s v="Yes"/>
    <n v="3"/>
    <n v="0"/>
    <n v="6"/>
    <n v="1.3"/>
    <n v="2.37"/>
  </r>
  <r>
    <x v="10"/>
    <x v="10"/>
    <s v="17:45"/>
    <x v="3"/>
    <s v="Chocolate Cookies"/>
    <s v="Bakery"/>
    <n v="1"/>
    <n v="1.69"/>
    <s v="No"/>
    <n v="46"/>
    <n v="0"/>
    <n v="8"/>
    <n v="6"/>
    <n v="1.69"/>
  </r>
  <r>
    <x v="11"/>
    <x v="10"/>
    <s v="12:05"/>
    <x v="3"/>
    <s v="Bin Bags"/>
    <s v="Household"/>
    <n v="1"/>
    <n v="2.29"/>
    <s v="Yes"/>
    <n v="50"/>
    <n v="0"/>
    <n v="6"/>
    <n v="6.5"/>
    <n v="2.29"/>
  </r>
  <r>
    <x v="12"/>
    <x v="11"/>
    <s v="18:25"/>
    <x v="1"/>
    <s v="Frozen Pizza"/>
    <s v="Frozen"/>
    <n v="1"/>
    <n v="3.49"/>
    <s v="No"/>
    <n v="39"/>
    <n v="0"/>
    <n v="9"/>
    <n v="4.4000000000000004"/>
    <n v="3.49"/>
  </r>
  <r>
    <x v="13"/>
    <x v="12"/>
    <s v="07:40"/>
    <x v="5"/>
    <s v="Tomatoes"/>
    <s v="Fresh Produce"/>
    <n v="1"/>
    <n v="1.49"/>
    <s v="No"/>
    <n v="23"/>
    <n v="0"/>
    <n v="4"/>
    <n v="3.3"/>
    <n v="1.49"/>
  </r>
  <r>
    <x v="14"/>
    <x v="7"/>
    <s v="16:55"/>
    <x v="1"/>
    <s v="Croissants"/>
    <s v="Bakery"/>
    <n v="1"/>
    <n v="1.99"/>
    <s v="No"/>
    <n v="24"/>
    <n v="0"/>
    <n v="5"/>
    <n v="3.6"/>
    <n v="1.99"/>
  </r>
  <r>
    <x v="15"/>
    <x v="13"/>
    <s v="17:10"/>
    <x v="6"/>
    <s v="Kitchen Roll"/>
    <s v="Household"/>
    <n v="1"/>
    <n v="3.29"/>
    <s v="No"/>
    <n v="24"/>
    <n v="0"/>
    <n v="6"/>
    <n v="5.2"/>
    <n v="3.29"/>
  </r>
  <r>
    <x v="16"/>
    <x v="14"/>
    <s v="10:25"/>
    <x v="3"/>
    <s v="Cola 2L"/>
    <s v="Drinks"/>
    <n v="1"/>
    <n v="1.49"/>
    <s v="Yes"/>
    <n v="36"/>
    <n v="0"/>
    <n v="7"/>
    <n v="2.8"/>
    <n v="1.49"/>
  </r>
  <r>
    <x v="17"/>
    <x v="15"/>
    <s v="21:25"/>
    <x v="2"/>
    <s v="Ice Cream"/>
    <s v="Frozen"/>
    <n v="3"/>
    <n v="3.95"/>
    <s v="No"/>
    <n v="19"/>
    <n v="0"/>
    <n v="5"/>
    <n v="3.1"/>
    <n v="11.850000000000001"/>
  </r>
  <r>
    <x v="18"/>
    <x v="13"/>
    <s v="12:30"/>
    <x v="6"/>
    <s v="Milk 2L"/>
    <s v="Dairy"/>
    <n v="1"/>
    <n v="1.55"/>
    <s v="No"/>
    <n v="42"/>
    <n v="0"/>
    <n v="8"/>
    <n v="3.3"/>
    <n v="1.55"/>
  </r>
  <r>
    <x v="19"/>
    <x v="16"/>
    <s v="16:45"/>
    <x v="1"/>
    <s v="Ice Cream"/>
    <s v="Frozen"/>
    <n v="2"/>
    <n v="3.95"/>
    <s v="No"/>
    <n v="44"/>
    <n v="0"/>
    <n v="6"/>
    <n v="2.4"/>
    <n v="7.9"/>
  </r>
  <r>
    <x v="20"/>
    <x v="17"/>
    <s v="11:30"/>
    <x v="5"/>
    <s v="Bin Bags"/>
    <s v="Household"/>
    <n v="3"/>
    <n v="2.69"/>
    <s v="No"/>
    <n v="7"/>
    <n v="0"/>
    <n v="5"/>
    <n v="3.1"/>
    <n v="8.07"/>
  </r>
  <r>
    <x v="21"/>
    <x v="18"/>
    <s v="14:00"/>
    <x v="1"/>
    <s v="Bottled Water 6pk"/>
    <s v="Drinks"/>
    <n v="2"/>
    <n v="2.4900000000000002"/>
    <s v="No"/>
    <n v="39"/>
    <n v="0"/>
    <n v="5"/>
    <n v="3.3"/>
    <n v="4.9800000000000004"/>
  </r>
  <r>
    <x v="22"/>
    <x v="8"/>
    <s v="19:00"/>
    <x v="0"/>
    <s v="Kitchen Roll"/>
    <s v="Household"/>
    <n v="1"/>
    <n v="3.29"/>
    <s v="No"/>
    <n v="6"/>
    <n v="0"/>
    <n v="9"/>
    <n v="3.6"/>
    <n v="3.29"/>
  </r>
  <r>
    <x v="23"/>
    <x v="2"/>
    <s v="14:40"/>
    <x v="2"/>
    <s v="Apples"/>
    <s v="Fresh Produce"/>
    <n v="1"/>
    <n v="1.79"/>
    <s v="No"/>
    <n v="34"/>
    <n v="3"/>
    <n v="4"/>
    <n v="4.5"/>
    <n v="1.79"/>
  </r>
  <r>
    <x v="24"/>
    <x v="19"/>
    <s v="12:20"/>
    <x v="6"/>
    <s v="Tomatoes"/>
    <s v="Fresh Produce"/>
    <n v="2"/>
    <n v="1.27"/>
    <s v="Yes"/>
    <n v="9"/>
    <n v="0"/>
    <n v="7"/>
    <n v="5.5"/>
    <n v="2.54"/>
  </r>
  <r>
    <x v="25"/>
    <x v="20"/>
    <s v="12:00"/>
    <x v="5"/>
    <s v="Bottled Water 6pk"/>
    <s v="Drinks"/>
    <n v="1"/>
    <n v="2.4900000000000002"/>
    <s v="No"/>
    <n v="15"/>
    <n v="0"/>
    <n v="6"/>
    <n v="3.8"/>
    <n v="2.4900000000000002"/>
  </r>
  <r>
    <x v="26"/>
    <x v="10"/>
    <s v="16:05"/>
    <x v="3"/>
    <s v="Bananas"/>
    <s v="Fresh Produce"/>
    <n v="1"/>
    <n v="0.95"/>
    <s v="No"/>
    <n v="28"/>
    <n v="1"/>
    <n v="6"/>
    <n v="1.8"/>
    <n v="0.95"/>
  </r>
  <r>
    <x v="27"/>
    <x v="21"/>
    <s v="21:40"/>
    <x v="5"/>
    <s v="Bottled Water 6pk"/>
    <s v="Drinks"/>
    <n v="1"/>
    <n v="2.4900000000000002"/>
    <s v="No"/>
    <n v="15"/>
    <n v="0"/>
    <n v="4"/>
    <n v="3.4"/>
    <n v="2.4900000000000002"/>
  </r>
  <r>
    <x v="28"/>
    <x v="19"/>
    <s v="16:15"/>
    <x v="6"/>
    <s v="Chocolate Cookies"/>
    <s v="Bakery"/>
    <n v="1"/>
    <n v="1.69"/>
    <s v="No"/>
    <n v="34"/>
    <n v="0"/>
    <n v="7"/>
    <n v="2.4"/>
    <n v="1.69"/>
  </r>
  <r>
    <x v="29"/>
    <x v="22"/>
    <s v="14:20"/>
    <x v="2"/>
    <s v="Bin Bags"/>
    <s v="Household"/>
    <n v="1"/>
    <n v="2.69"/>
    <s v="No"/>
    <n v="52"/>
    <n v="0"/>
    <n v="7"/>
    <n v="2.2999999999999998"/>
    <n v="2.69"/>
  </r>
  <r>
    <x v="30"/>
    <x v="23"/>
    <s v="08:50"/>
    <x v="2"/>
    <s v="Croissants"/>
    <s v="Bakery"/>
    <n v="2"/>
    <n v="1.99"/>
    <s v="No"/>
    <n v="44"/>
    <n v="0"/>
    <n v="7"/>
    <n v="2.2999999999999998"/>
    <n v="3.98"/>
  </r>
  <r>
    <x v="31"/>
    <x v="24"/>
    <s v="12:55"/>
    <x v="6"/>
    <s v="Orange Juice"/>
    <s v="Drinks"/>
    <n v="3"/>
    <n v="1.89"/>
    <s v="No"/>
    <n v="47"/>
    <n v="0"/>
    <n v="9"/>
    <n v="4"/>
    <n v="5.67"/>
  </r>
  <r>
    <x v="32"/>
    <x v="25"/>
    <s v="14:55"/>
    <x v="5"/>
    <s v="Milk 2L"/>
    <s v="Dairy"/>
    <n v="2"/>
    <n v="1.55"/>
    <s v="No"/>
    <n v="11"/>
    <n v="0"/>
    <n v="5"/>
    <n v="3.9"/>
    <n v="3.1"/>
  </r>
  <r>
    <x v="33"/>
    <x v="26"/>
    <s v="17:25"/>
    <x v="1"/>
    <s v="Tomatoes"/>
    <s v="Fresh Produce"/>
    <n v="3"/>
    <n v="1.27"/>
    <s v="Yes"/>
    <n v="18"/>
    <n v="1"/>
    <n v="8"/>
    <n v="5.6"/>
    <n v="3.81"/>
  </r>
  <r>
    <x v="34"/>
    <x v="27"/>
    <s v="20:55"/>
    <x v="3"/>
    <s v="Frozen Pizza"/>
    <s v="Frozen"/>
    <n v="3"/>
    <n v="2.97"/>
    <s v="Yes"/>
    <n v="4"/>
    <n v="1"/>
    <n v="6"/>
    <n v="1.3"/>
    <n v="8.91"/>
  </r>
  <r>
    <x v="35"/>
    <x v="28"/>
    <s v="17:35"/>
    <x v="0"/>
    <s v="Washing Liquid"/>
    <s v="Household"/>
    <n v="1"/>
    <n v="3.99"/>
    <s v="No"/>
    <n v="55"/>
    <n v="0"/>
    <n v="9"/>
    <n v="5.3"/>
    <n v="3.99"/>
  </r>
  <r>
    <x v="36"/>
    <x v="11"/>
    <s v="18:15"/>
    <x v="1"/>
    <s v="Tomatoes"/>
    <s v="Fresh Produce"/>
    <n v="1"/>
    <n v="1.49"/>
    <s v="No"/>
    <n v="43"/>
    <n v="0"/>
    <n v="7"/>
    <n v="5.5"/>
    <n v="1.49"/>
  </r>
  <r>
    <x v="37"/>
    <x v="0"/>
    <s v="10:40"/>
    <x v="0"/>
    <s v="Frozen Chips"/>
    <s v="Frozen"/>
    <n v="1"/>
    <n v="2.25"/>
    <s v="No"/>
    <n v="16"/>
    <n v="0"/>
    <n v="6"/>
    <n v="2.8"/>
    <n v="2.25"/>
  </r>
  <r>
    <x v="38"/>
    <x v="12"/>
    <s v="12:45"/>
    <x v="5"/>
    <s v="Tomatoes"/>
    <s v="Fresh Produce"/>
    <n v="1"/>
    <n v="1.49"/>
    <s v="No"/>
    <n v="59"/>
    <n v="1"/>
    <n v="8"/>
    <n v="3.3"/>
    <n v="1.49"/>
  </r>
  <r>
    <x v="39"/>
    <x v="29"/>
    <s v="18:20"/>
    <x v="5"/>
    <s v="Greek Yogurt"/>
    <s v="Dairy"/>
    <n v="1"/>
    <n v="1.85"/>
    <s v="No"/>
    <n v="9"/>
    <n v="0"/>
    <n v="9"/>
    <n v="2.8"/>
    <n v="1.85"/>
  </r>
  <r>
    <x v="40"/>
    <x v="21"/>
    <s v="16:05"/>
    <x v="5"/>
    <s v="Cheddar Cheese"/>
    <s v="Dairy"/>
    <n v="1"/>
    <n v="2.37"/>
    <s v="Yes"/>
    <n v="47"/>
    <n v="0"/>
    <n v="6"/>
    <n v="2.5"/>
    <n v="2.37"/>
  </r>
  <r>
    <x v="41"/>
    <x v="30"/>
    <s v="11:25"/>
    <x v="0"/>
    <s v="Ice Cream"/>
    <s v="Frozen"/>
    <n v="1"/>
    <n v="3.36"/>
    <s v="Yes"/>
    <n v="35"/>
    <n v="0"/>
    <n v="6"/>
    <n v="1.8"/>
    <n v="3.36"/>
  </r>
  <r>
    <x v="42"/>
    <x v="28"/>
    <s v="19:20"/>
    <x v="0"/>
    <s v="Frozen Chips"/>
    <s v="Frozen"/>
    <n v="1"/>
    <n v="2.25"/>
    <s v="No"/>
    <n v="13"/>
    <n v="0"/>
    <n v="7"/>
    <n v="3"/>
    <n v="2.25"/>
  </r>
  <r>
    <x v="43"/>
    <x v="31"/>
    <s v="19:45"/>
    <x v="4"/>
    <s v="Bananas"/>
    <s v="Fresh Produce"/>
    <n v="1"/>
    <n v="0.95"/>
    <s v="No"/>
    <n v="43"/>
    <n v="0"/>
    <n v="6"/>
    <n v="6.1"/>
    <n v="0.95"/>
  </r>
  <r>
    <x v="44"/>
    <x v="24"/>
    <s v="20:45"/>
    <x v="6"/>
    <s v="Frozen Chips"/>
    <s v="Frozen"/>
    <n v="1"/>
    <n v="2.25"/>
    <s v="No"/>
    <n v="52"/>
    <n v="0"/>
    <n v="5"/>
    <n v="3.7"/>
    <n v="2.25"/>
  </r>
  <r>
    <x v="45"/>
    <x v="29"/>
    <s v="16:05"/>
    <x v="5"/>
    <s v="Croissants"/>
    <s v="Bakery"/>
    <n v="1"/>
    <n v="1.99"/>
    <s v="No"/>
    <n v="15"/>
    <n v="0"/>
    <n v="6"/>
    <n v="2.5"/>
    <n v="1.99"/>
  </r>
  <r>
    <x v="46"/>
    <x v="15"/>
    <s v="13:50"/>
    <x v="2"/>
    <s v="Ice Cream"/>
    <s v="Frozen"/>
    <n v="1"/>
    <n v="3.95"/>
    <s v="No"/>
    <n v="59"/>
    <n v="0"/>
    <n v="8"/>
    <n v="6.2"/>
    <n v="3.95"/>
  </r>
  <r>
    <x v="47"/>
    <x v="32"/>
    <s v="16:55"/>
    <x v="1"/>
    <s v="Washing Liquid"/>
    <s v="Household"/>
    <n v="2"/>
    <n v="3.99"/>
    <s v="No"/>
    <n v="42"/>
    <n v="0"/>
    <n v="4"/>
    <n v="2.2999999999999998"/>
    <n v="7.98"/>
  </r>
  <r>
    <x v="48"/>
    <x v="27"/>
    <s v="12:30"/>
    <x v="3"/>
    <s v="Orange Juice"/>
    <s v="Drinks"/>
    <n v="1"/>
    <n v="1.89"/>
    <s v="No"/>
    <n v="53"/>
    <n v="0"/>
    <n v="6"/>
    <n v="5.4"/>
    <n v="1.89"/>
  </r>
  <r>
    <x v="49"/>
    <x v="12"/>
    <s v="12:05"/>
    <x v="5"/>
    <s v="Frozen Chips"/>
    <s v="Frozen"/>
    <n v="2"/>
    <n v="2.25"/>
    <s v="No"/>
    <n v="55"/>
    <n v="0"/>
    <n v="6"/>
    <n v="4.2"/>
    <n v="4.5"/>
  </r>
  <r>
    <x v="50"/>
    <x v="33"/>
    <s v="18:30"/>
    <x v="2"/>
    <s v="Chocolate Cookies"/>
    <s v="Bakery"/>
    <n v="1"/>
    <n v="1.69"/>
    <s v="No"/>
    <n v="35"/>
    <n v="2"/>
    <n v="7"/>
    <n v="4.5"/>
    <n v="1.69"/>
  </r>
  <r>
    <x v="51"/>
    <x v="34"/>
    <s v="17:50"/>
    <x v="6"/>
    <s v="Bananas"/>
    <s v="Fresh Produce"/>
    <n v="1"/>
    <n v="0.95"/>
    <s v="No"/>
    <n v="6"/>
    <n v="0"/>
    <n v="6"/>
    <n v="5.7"/>
    <n v="0.95"/>
  </r>
  <r>
    <x v="52"/>
    <x v="25"/>
    <s v="19:20"/>
    <x v="5"/>
    <s v="Bin Bags"/>
    <s v="Household"/>
    <n v="2"/>
    <n v="2.69"/>
    <s v="No"/>
    <n v="9"/>
    <n v="0"/>
    <n v="8"/>
    <n v="4.2"/>
    <n v="5.38"/>
  </r>
  <r>
    <x v="53"/>
    <x v="16"/>
    <s v="14:15"/>
    <x v="1"/>
    <s v="Washing Liquid"/>
    <s v="Household"/>
    <n v="1"/>
    <n v="3.99"/>
    <s v="No"/>
    <n v="24"/>
    <n v="0"/>
    <n v="4"/>
    <n v="4.4000000000000004"/>
    <n v="3.99"/>
  </r>
  <r>
    <x v="54"/>
    <x v="35"/>
    <s v="18:30"/>
    <x v="0"/>
    <s v="Bottled Water 6pk"/>
    <s v="Drinks"/>
    <n v="1"/>
    <n v="2.4900000000000002"/>
    <s v="No"/>
    <n v="46"/>
    <n v="0"/>
    <n v="8"/>
    <n v="3.4"/>
    <n v="2.4900000000000002"/>
  </r>
  <r>
    <x v="55"/>
    <x v="36"/>
    <s v="14:50"/>
    <x v="2"/>
    <s v="Bin Bags"/>
    <s v="Household"/>
    <n v="2"/>
    <n v="2.69"/>
    <s v="No"/>
    <n v="44"/>
    <n v="0"/>
    <n v="5"/>
    <n v="3.4"/>
    <n v="5.38"/>
  </r>
  <r>
    <x v="56"/>
    <x v="32"/>
    <s v="08:55"/>
    <x v="1"/>
    <s v="Cola 2L"/>
    <s v="Drinks"/>
    <n v="3"/>
    <n v="1.75"/>
    <s v="No"/>
    <n v="18"/>
    <n v="0"/>
    <n v="5"/>
    <n v="3.5"/>
    <n v="5.25"/>
  </r>
  <r>
    <x v="57"/>
    <x v="37"/>
    <s v="16:40"/>
    <x v="4"/>
    <s v="Kitchen Roll"/>
    <s v="Household"/>
    <n v="2"/>
    <n v="3.29"/>
    <s v="No"/>
    <n v="29"/>
    <n v="1"/>
    <n v="4"/>
    <n v="3.7"/>
    <n v="6.58"/>
  </r>
  <r>
    <x v="58"/>
    <x v="38"/>
    <s v="16:00"/>
    <x v="1"/>
    <s v="Apples"/>
    <s v="Fresh Produce"/>
    <n v="1"/>
    <n v="1.52"/>
    <s v="Yes"/>
    <n v="50"/>
    <n v="0"/>
    <n v="7"/>
    <n v="1.6"/>
    <n v="1.52"/>
  </r>
  <r>
    <x v="59"/>
    <x v="16"/>
    <s v="17:50"/>
    <x v="1"/>
    <s v="Ice Cream"/>
    <s v="Frozen"/>
    <n v="1"/>
    <n v="3.95"/>
    <s v="No"/>
    <n v="19"/>
    <n v="0"/>
    <n v="9"/>
    <n v="5.7"/>
    <n v="3.95"/>
  </r>
  <r>
    <x v="60"/>
    <x v="17"/>
    <s v="18:25"/>
    <x v="5"/>
    <s v="Milk 2L"/>
    <s v="Dairy"/>
    <n v="3"/>
    <n v="1.55"/>
    <s v="No"/>
    <n v="32"/>
    <n v="0"/>
    <n v="8"/>
    <n v="3.8"/>
    <n v="4.6500000000000004"/>
  </r>
  <r>
    <x v="61"/>
    <x v="39"/>
    <s v="16:05"/>
    <x v="3"/>
    <s v="Bin Bags"/>
    <s v="Household"/>
    <n v="4"/>
    <n v="2.69"/>
    <s v="No"/>
    <n v="24"/>
    <n v="0"/>
    <n v="7"/>
    <n v="2.4"/>
    <n v="10.76"/>
  </r>
  <r>
    <x v="62"/>
    <x v="18"/>
    <s v="19:30"/>
    <x v="1"/>
    <s v="Tomatoes"/>
    <s v="Fresh Produce"/>
    <n v="1"/>
    <n v="1.27"/>
    <s v="Yes"/>
    <n v="37"/>
    <n v="1"/>
    <n v="7"/>
    <n v="6"/>
    <n v="1.27"/>
  </r>
  <r>
    <x v="63"/>
    <x v="40"/>
    <s v="17:15"/>
    <x v="6"/>
    <s v="Tomatoes"/>
    <s v="Fresh Produce"/>
    <n v="1"/>
    <n v="1.49"/>
    <s v="No"/>
    <n v="15"/>
    <n v="0"/>
    <n v="9"/>
    <n v="6.2"/>
    <n v="1.49"/>
  </r>
  <r>
    <x v="64"/>
    <x v="6"/>
    <s v="21:40"/>
    <x v="3"/>
    <s v="Orange Juice"/>
    <s v="Drinks"/>
    <n v="1"/>
    <n v="1.89"/>
    <s v="No"/>
    <n v="52"/>
    <n v="0"/>
    <n v="6"/>
    <n v="2"/>
    <n v="1.89"/>
  </r>
  <r>
    <x v="65"/>
    <x v="41"/>
    <s v="07:45"/>
    <x v="5"/>
    <s v="Chocolate Cookies"/>
    <s v="Bakery"/>
    <n v="2"/>
    <n v="1.44"/>
    <s v="Yes"/>
    <n v="3"/>
    <n v="3"/>
    <n v="7"/>
    <n v="1.9"/>
    <n v="2.88"/>
  </r>
  <r>
    <x v="66"/>
    <x v="42"/>
    <s v="13:15"/>
    <x v="5"/>
    <s v="Apples"/>
    <s v="Fresh Produce"/>
    <n v="1"/>
    <n v="1.79"/>
    <s v="No"/>
    <n v="27"/>
    <n v="0"/>
    <n v="6"/>
    <n v="3.2"/>
    <n v="1.79"/>
  </r>
  <r>
    <x v="67"/>
    <x v="16"/>
    <s v="13:10"/>
    <x v="1"/>
    <s v="Frozen Chips"/>
    <s v="Frozen"/>
    <n v="1"/>
    <n v="2.25"/>
    <s v="No"/>
    <n v="38"/>
    <n v="0"/>
    <n v="9"/>
    <n v="4.5"/>
    <n v="2.25"/>
  </r>
  <r>
    <x v="68"/>
    <x v="10"/>
    <s v="14:40"/>
    <x v="3"/>
    <s v="Chocolate Cookies"/>
    <s v="Bakery"/>
    <n v="2"/>
    <n v="1.69"/>
    <s v="No"/>
    <n v="32"/>
    <n v="2"/>
    <n v="6"/>
    <n v="2.6"/>
    <n v="3.38"/>
  </r>
  <r>
    <x v="69"/>
    <x v="12"/>
    <s v="13:00"/>
    <x v="5"/>
    <s v="Frozen Chips"/>
    <s v="Frozen"/>
    <n v="1"/>
    <n v="2.25"/>
    <s v="No"/>
    <n v="3"/>
    <n v="0"/>
    <n v="9"/>
    <n v="3.8"/>
    <n v="2.25"/>
  </r>
  <r>
    <x v="70"/>
    <x v="10"/>
    <s v="14:00"/>
    <x v="3"/>
    <s v="Croissants"/>
    <s v="Bakery"/>
    <n v="2"/>
    <n v="1.99"/>
    <s v="No"/>
    <n v="25"/>
    <n v="0"/>
    <n v="5"/>
    <n v="4.5999999999999996"/>
    <n v="3.98"/>
  </r>
  <r>
    <x v="71"/>
    <x v="43"/>
    <s v="16:35"/>
    <x v="6"/>
    <s v="Washing Liquid"/>
    <s v="Household"/>
    <n v="2"/>
    <n v="3.39"/>
    <s v="Yes"/>
    <n v="12"/>
    <n v="0"/>
    <n v="7"/>
    <n v="2.2000000000000002"/>
    <n v="6.78"/>
  </r>
  <r>
    <x v="72"/>
    <x v="44"/>
    <s v="11:55"/>
    <x v="3"/>
    <s v="Frozen Chips"/>
    <s v="Frozen"/>
    <n v="2"/>
    <n v="2.25"/>
    <s v="No"/>
    <n v="31"/>
    <n v="0"/>
    <n v="5"/>
    <n v="4"/>
    <n v="4.5"/>
  </r>
  <r>
    <x v="73"/>
    <x v="45"/>
    <s v="15:55"/>
    <x v="1"/>
    <s v="Kitchen Roll"/>
    <s v="Household"/>
    <n v="1"/>
    <n v="3.29"/>
    <s v="No"/>
    <n v="53"/>
    <n v="0"/>
    <n v="6"/>
    <n v="1.7"/>
    <n v="3.29"/>
  </r>
  <r>
    <x v="74"/>
    <x v="46"/>
    <s v="16:00"/>
    <x v="2"/>
    <s v="Kitchen Roll"/>
    <s v="Household"/>
    <n v="3"/>
    <n v="3.29"/>
    <s v="No"/>
    <n v="26"/>
    <n v="0"/>
    <n v="6"/>
    <n v="2"/>
    <n v="9.870000000000001"/>
  </r>
  <r>
    <x v="75"/>
    <x v="47"/>
    <s v="09:25"/>
    <x v="4"/>
    <s v="Tomatoes"/>
    <s v="Fresh Produce"/>
    <n v="1"/>
    <n v="1.27"/>
    <s v="Yes"/>
    <n v="57"/>
    <n v="0"/>
    <n v="6"/>
    <n v="2.2000000000000002"/>
    <n v="1.27"/>
  </r>
  <r>
    <x v="76"/>
    <x v="34"/>
    <s v="15:40"/>
    <x v="6"/>
    <s v="Orange Juice"/>
    <s v="Drinks"/>
    <n v="1"/>
    <n v="1.61"/>
    <s v="Yes"/>
    <n v="30"/>
    <n v="0"/>
    <n v="4"/>
    <n v="3.5"/>
    <n v="1.61"/>
  </r>
  <r>
    <x v="77"/>
    <x v="40"/>
    <s v="12:10"/>
    <x v="6"/>
    <s v="Chocolate Cookies"/>
    <s v="Bakery"/>
    <n v="1"/>
    <n v="1.69"/>
    <s v="No"/>
    <n v="10"/>
    <n v="0"/>
    <n v="6"/>
    <n v="4.0999999999999996"/>
    <n v="1.69"/>
  </r>
  <r>
    <x v="78"/>
    <x v="21"/>
    <s v="12:00"/>
    <x v="5"/>
    <s v="Greek Yogurt"/>
    <s v="Dairy"/>
    <n v="2"/>
    <n v="1.85"/>
    <s v="No"/>
    <n v="41"/>
    <n v="0"/>
    <n v="7"/>
    <n v="3.8"/>
    <n v="3.7"/>
  </r>
  <r>
    <x v="79"/>
    <x v="48"/>
    <s v="18:10"/>
    <x v="5"/>
    <s v="Orange Juice"/>
    <s v="Drinks"/>
    <n v="2"/>
    <n v="1.61"/>
    <s v="Yes"/>
    <n v="23"/>
    <n v="0"/>
    <n v="6"/>
    <n v="4.4000000000000004"/>
    <n v="3.22"/>
  </r>
  <r>
    <x v="80"/>
    <x v="22"/>
    <s v="18:25"/>
    <x v="2"/>
    <s v="Orange Juice"/>
    <s v="Drinks"/>
    <n v="3"/>
    <n v="1.89"/>
    <s v="No"/>
    <n v="36"/>
    <n v="0"/>
    <n v="8"/>
    <n v="6.7"/>
    <n v="5.67"/>
  </r>
  <r>
    <x v="81"/>
    <x v="10"/>
    <s v="17:30"/>
    <x v="3"/>
    <s v="Washing Liquid"/>
    <s v="Household"/>
    <n v="2"/>
    <n v="3.99"/>
    <s v="No"/>
    <n v="34"/>
    <n v="0"/>
    <n v="6"/>
    <n v="5.6"/>
    <n v="7.98"/>
  </r>
  <r>
    <x v="82"/>
    <x v="25"/>
    <s v="07:00"/>
    <x v="5"/>
    <s v="Kitchen Roll"/>
    <s v="Household"/>
    <n v="2"/>
    <n v="3.29"/>
    <s v="No"/>
    <n v="11"/>
    <n v="0"/>
    <n v="6"/>
    <n v="2.2999999999999998"/>
    <n v="6.58"/>
  </r>
  <r>
    <x v="83"/>
    <x v="23"/>
    <s v="17:35"/>
    <x v="2"/>
    <s v="Apples"/>
    <s v="Fresh Produce"/>
    <n v="2"/>
    <n v="1.79"/>
    <s v="No"/>
    <n v="60"/>
    <n v="0"/>
    <n v="6"/>
    <n v="2.8"/>
    <n v="3.58"/>
  </r>
  <r>
    <x v="84"/>
    <x v="36"/>
    <s v="09:25"/>
    <x v="2"/>
    <s v="Bottled Water 6pk"/>
    <s v="Drinks"/>
    <n v="1"/>
    <n v="2.4900000000000002"/>
    <s v="No"/>
    <n v="45"/>
    <n v="0"/>
    <n v="5"/>
    <n v="5.4"/>
    <n v="2.4900000000000002"/>
  </r>
  <r>
    <x v="85"/>
    <x v="49"/>
    <s v="15:30"/>
    <x v="6"/>
    <s v="Orange Juice"/>
    <s v="Drinks"/>
    <n v="1"/>
    <n v="1.89"/>
    <s v="No"/>
    <n v="36"/>
    <n v="0"/>
    <n v="5"/>
    <n v="4.5999999999999996"/>
    <n v="1.89"/>
  </r>
  <r>
    <x v="86"/>
    <x v="20"/>
    <s v="10:20"/>
    <x v="5"/>
    <s v="Apples"/>
    <s v="Fresh Produce"/>
    <n v="1"/>
    <n v="1.79"/>
    <s v="No"/>
    <n v="60"/>
    <n v="0"/>
    <n v="6"/>
    <n v="1.9"/>
    <n v="1.79"/>
  </r>
  <r>
    <x v="87"/>
    <x v="9"/>
    <s v="12:30"/>
    <x v="0"/>
    <s v="Orange Juice"/>
    <s v="Drinks"/>
    <n v="1"/>
    <n v="1.89"/>
    <s v="No"/>
    <n v="26"/>
    <n v="0"/>
    <n v="7"/>
    <n v="4.2"/>
    <n v="1.89"/>
  </r>
  <r>
    <x v="88"/>
    <x v="50"/>
    <s v="09:45"/>
    <x v="3"/>
    <s v="Kitchen Roll"/>
    <s v="Household"/>
    <n v="1"/>
    <n v="3.29"/>
    <s v="No"/>
    <n v="23"/>
    <n v="0"/>
    <n v="7"/>
    <n v="2.2000000000000002"/>
    <n v="3.29"/>
  </r>
  <r>
    <x v="89"/>
    <x v="51"/>
    <s v="13:20"/>
    <x v="5"/>
    <s v="Bottled Water 6pk"/>
    <s v="Drinks"/>
    <n v="4"/>
    <n v="2.4900000000000002"/>
    <s v="No"/>
    <n v="45"/>
    <n v="0"/>
    <n v="6"/>
    <n v="4.5"/>
    <n v="9.9600000000000009"/>
  </r>
  <r>
    <x v="90"/>
    <x v="48"/>
    <s v="14:35"/>
    <x v="5"/>
    <s v="Tomatoes"/>
    <s v="Fresh Produce"/>
    <n v="1"/>
    <n v="1.27"/>
    <s v="Yes"/>
    <n v="33"/>
    <n v="0"/>
    <n v="5"/>
    <n v="3.3"/>
    <n v="1.27"/>
  </r>
  <r>
    <x v="91"/>
    <x v="29"/>
    <s v="17:10"/>
    <x v="5"/>
    <s v="White Bread"/>
    <s v="Bakery"/>
    <n v="1"/>
    <n v="1.18"/>
    <s v="Yes"/>
    <n v="44"/>
    <n v="0"/>
    <n v="9"/>
    <n v="6.2"/>
    <n v="1.18"/>
  </r>
  <r>
    <x v="92"/>
    <x v="12"/>
    <s v="16:25"/>
    <x v="5"/>
    <s v="Kitchen Roll"/>
    <s v="Household"/>
    <n v="1"/>
    <n v="3.29"/>
    <s v="No"/>
    <n v="21"/>
    <n v="0"/>
    <n v="6"/>
    <n v="1.3"/>
    <n v="3.29"/>
  </r>
  <r>
    <x v="93"/>
    <x v="36"/>
    <s v="18:05"/>
    <x v="2"/>
    <s v="Cola 2L"/>
    <s v="Drinks"/>
    <n v="2"/>
    <n v="1.75"/>
    <s v="No"/>
    <n v="6"/>
    <n v="0"/>
    <n v="9"/>
    <n v="3.9"/>
    <n v="3.5"/>
  </r>
  <r>
    <x v="94"/>
    <x v="41"/>
    <s v="14:25"/>
    <x v="5"/>
    <s v="Frozen Chips"/>
    <s v="Frozen"/>
    <n v="4"/>
    <n v="2.25"/>
    <s v="No"/>
    <n v="54"/>
    <n v="0"/>
    <n v="5"/>
    <n v="4.3"/>
    <n v="9"/>
  </r>
  <r>
    <x v="95"/>
    <x v="34"/>
    <s v="08:30"/>
    <x v="6"/>
    <s v="Bin Bags"/>
    <s v="Household"/>
    <n v="2"/>
    <n v="2.69"/>
    <s v="No"/>
    <n v="60"/>
    <n v="0"/>
    <n v="6"/>
    <n v="1.7"/>
    <n v="5.38"/>
  </r>
  <r>
    <x v="96"/>
    <x v="50"/>
    <s v="12:15"/>
    <x v="3"/>
    <s v="White Bread"/>
    <s v="Bakery"/>
    <n v="1"/>
    <n v="1.39"/>
    <s v="No"/>
    <n v="42"/>
    <n v="0"/>
    <n v="7"/>
    <n v="4.8"/>
    <n v="1.39"/>
  </r>
  <r>
    <x v="97"/>
    <x v="25"/>
    <s v="18:20"/>
    <x v="5"/>
    <s v="Greek Yogurt"/>
    <s v="Dairy"/>
    <n v="1"/>
    <n v="1.85"/>
    <s v="No"/>
    <n v="11"/>
    <n v="0"/>
    <n v="6"/>
    <n v="4.2"/>
    <n v="1.85"/>
  </r>
  <r>
    <x v="98"/>
    <x v="52"/>
    <s v="21:20"/>
    <x v="5"/>
    <s v="Bin Bags"/>
    <s v="Household"/>
    <n v="1"/>
    <n v="2.69"/>
    <s v="No"/>
    <n v="8"/>
    <n v="0"/>
    <n v="6"/>
    <n v="1.2"/>
    <n v="2.69"/>
  </r>
  <r>
    <x v="99"/>
    <x v="30"/>
    <s v="11:25"/>
    <x v="0"/>
    <s v="Washing Liquid"/>
    <s v="Household"/>
    <n v="1"/>
    <n v="3.99"/>
    <s v="No"/>
    <n v="32"/>
    <n v="0"/>
    <n v="6"/>
    <n v="2.9"/>
    <n v="3.99"/>
  </r>
  <r>
    <x v="100"/>
    <x v="53"/>
    <s v="15:25"/>
    <x v="4"/>
    <s v="Frozen Chips"/>
    <s v="Frozen"/>
    <n v="1"/>
    <n v="2.25"/>
    <s v="No"/>
    <n v="12"/>
    <n v="0"/>
    <n v="7"/>
    <n v="2.2999999999999998"/>
    <n v="2.25"/>
  </r>
  <r>
    <x v="101"/>
    <x v="35"/>
    <s v="17:30"/>
    <x v="0"/>
    <s v="Apples"/>
    <s v="Fresh Produce"/>
    <n v="1"/>
    <n v="1.79"/>
    <s v="No"/>
    <n v="25"/>
    <n v="0"/>
    <n v="7"/>
    <n v="6.2"/>
    <n v="1.79"/>
  </r>
  <r>
    <x v="102"/>
    <x v="46"/>
    <s v="19:40"/>
    <x v="2"/>
    <s v="Frozen Chips"/>
    <s v="Frozen"/>
    <n v="1"/>
    <n v="2.25"/>
    <s v="No"/>
    <n v="47"/>
    <n v="0"/>
    <n v="7"/>
    <n v="4.4000000000000004"/>
    <n v="2.25"/>
  </r>
  <r>
    <x v="103"/>
    <x v="54"/>
    <s v="13:15"/>
    <x v="6"/>
    <s v="Bottled Water 6pk"/>
    <s v="Drinks"/>
    <n v="2"/>
    <n v="2.12"/>
    <s v="Yes"/>
    <n v="23"/>
    <n v="0"/>
    <n v="9"/>
    <n v="4.5"/>
    <n v="4.24"/>
  </r>
  <r>
    <x v="104"/>
    <x v="55"/>
    <s v="14:15"/>
    <x v="3"/>
    <s v="Cola 2L"/>
    <s v="Drinks"/>
    <n v="3"/>
    <n v="1.75"/>
    <s v="No"/>
    <n v="24"/>
    <n v="0"/>
    <n v="5"/>
    <n v="4.0999999999999996"/>
    <n v="5.25"/>
  </r>
  <r>
    <x v="105"/>
    <x v="33"/>
    <s v="17:25"/>
    <x v="2"/>
    <s v="Ice Cream"/>
    <s v="Frozen"/>
    <n v="1"/>
    <n v="3.36"/>
    <s v="Yes"/>
    <n v="31"/>
    <n v="0"/>
    <n v="9"/>
    <n v="3.3"/>
    <n v="3.36"/>
  </r>
  <r>
    <x v="106"/>
    <x v="9"/>
    <s v="13:15"/>
    <x v="0"/>
    <s v="Frozen Chips"/>
    <s v="Frozen"/>
    <n v="2"/>
    <n v="2.25"/>
    <s v="No"/>
    <n v="35"/>
    <n v="0"/>
    <n v="6"/>
    <n v="4.5999999999999996"/>
    <n v="4.5"/>
  </r>
  <r>
    <x v="107"/>
    <x v="56"/>
    <s v="13:45"/>
    <x v="5"/>
    <s v="Kitchen Roll"/>
    <s v="Household"/>
    <n v="2"/>
    <n v="3.29"/>
    <s v="No"/>
    <n v="14"/>
    <n v="0"/>
    <n v="8"/>
    <n v="4.7"/>
    <n v="6.58"/>
  </r>
  <r>
    <x v="108"/>
    <x v="55"/>
    <s v="19:55"/>
    <x v="3"/>
    <s v="White Bread"/>
    <s v="Bakery"/>
    <n v="2"/>
    <n v="1.39"/>
    <s v="No"/>
    <n v="53"/>
    <n v="2"/>
    <n v="8"/>
    <n v="4.7"/>
    <n v="2.78"/>
  </r>
  <r>
    <x v="109"/>
    <x v="11"/>
    <s v="14:00"/>
    <x v="1"/>
    <s v="Ice Cream"/>
    <s v="Frozen"/>
    <n v="2"/>
    <n v="3.95"/>
    <s v="No"/>
    <n v="3"/>
    <n v="0"/>
    <n v="7"/>
    <n v="2.2999999999999998"/>
    <n v="7.9"/>
  </r>
  <r>
    <x v="110"/>
    <x v="57"/>
    <s v="19:30"/>
    <x v="4"/>
    <s v="Orange Juice"/>
    <s v="Drinks"/>
    <n v="3"/>
    <n v="1.89"/>
    <s v="No"/>
    <n v="26"/>
    <n v="0"/>
    <n v="7"/>
    <n v="5.2"/>
    <n v="5.67"/>
  </r>
  <r>
    <x v="111"/>
    <x v="42"/>
    <s v="17:10"/>
    <x v="5"/>
    <s v="Bananas"/>
    <s v="Fresh Produce"/>
    <n v="1"/>
    <n v="0.95"/>
    <s v="No"/>
    <n v="26"/>
    <n v="0"/>
    <n v="6"/>
    <n v="4.5999999999999996"/>
    <n v="0.95"/>
  </r>
  <r>
    <x v="112"/>
    <x v="19"/>
    <s v="12:15"/>
    <x v="6"/>
    <s v="Frozen Chips"/>
    <s v="Frozen"/>
    <n v="2"/>
    <n v="1.91"/>
    <s v="Yes"/>
    <n v="38"/>
    <n v="1"/>
    <n v="6"/>
    <n v="4.8"/>
    <n v="3.82"/>
  </r>
  <r>
    <x v="113"/>
    <x v="54"/>
    <s v="21:55"/>
    <x v="6"/>
    <s v="Washing Liquid"/>
    <s v="Household"/>
    <n v="1"/>
    <n v="3.99"/>
    <s v="No"/>
    <n v="42"/>
    <n v="0"/>
    <n v="7"/>
    <n v="2"/>
    <n v="3.99"/>
  </r>
  <r>
    <x v="114"/>
    <x v="58"/>
    <s v="12:05"/>
    <x v="3"/>
    <s v="Chocolate Cookies"/>
    <s v="Bakery"/>
    <n v="2"/>
    <n v="1.69"/>
    <s v="No"/>
    <n v="36"/>
    <n v="3"/>
    <n v="6"/>
    <n v="2.9"/>
    <n v="3.38"/>
  </r>
  <r>
    <x v="115"/>
    <x v="10"/>
    <s v="09:50"/>
    <x v="3"/>
    <s v="Croissants"/>
    <s v="Bakery"/>
    <n v="1"/>
    <n v="1.99"/>
    <s v="No"/>
    <n v="41"/>
    <n v="0"/>
    <n v="7"/>
    <n v="2.7"/>
    <n v="1.99"/>
  </r>
  <r>
    <x v="116"/>
    <x v="4"/>
    <s v="16:55"/>
    <x v="4"/>
    <s v="Bin Bags"/>
    <s v="Household"/>
    <n v="1"/>
    <n v="2.29"/>
    <s v="Yes"/>
    <n v="21"/>
    <n v="0"/>
    <n v="5"/>
    <n v="4"/>
    <n v="2.29"/>
  </r>
  <r>
    <x v="117"/>
    <x v="59"/>
    <s v="14:10"/>
    <x v="6"/>
    <s v="Croissants"/>
    <s v="Bakery"/>
    <n v="4"/>
    <n v="1.99"/>
    <s v="No"/>
    <n v="9"/>
    <n v="0"/>
    <n v="6"/>
    <n v="2.2999999999999998"/>
    <n v="7.96"/>
  </r>
  <r>
    <x v="118"/>
    <x v="26"/>
    <s v="13:10"/>
    <x v="1"/>
    <s v="Greek Yogurt"/>
    <s v="Dairy"/>
    <n v="3"/>
    <n v="1.85"/>
    <s v="No"/>
    <n v="43"/>
    <n v="0"/>
    <n v="6"/>
    <n v="3.5"/>
    <n v="5.5500000000000007"/>
  </r>
  <r>
    <x v="119"/>
    <x v="60"/>
    <s v="17:00"/>
    <x v="4"/>
    <s v="Frozen Chips"/>
    <s v="Frozen"/>
    <n v="1"/>
    <n v="1.91"/>
    <s v="Yes"/>
    <n v="12"/>
    <n v="0"/>
    <n v="7"/>
    <n v="5"/>
    <n v="1.91"/>
  </r>
  <r>
    <x v="120"/>
    <x v="49"/>
    <s v="14:15"/>
    <x v="6"/>
    <s v="Bin Bags"/>
    <s v="Household"/>
    <n v="2"/>
    <n v="2.69"/>
    <s v="No"/>
    <n v="17"/>
    <n v="0"/>
    <n v="7"/>
    <n v="2.4"/>
    <n v="5.38"/>
  </r>
  <r>
    <x v="121"/>
    <x v="61"/>
    <s v="12:20"/>
    <x v="2"/>
    <s v="Greek Yogurt"/>
    <s v="Dairy"/>
    <n v="1"/>
    <n v="1.57"/>
    <s v="Yes"/>
    <n v="6"/>
    <n v="0"/>
    <n v="6"/>
    <n v="4.4000000000000004"/>
    <n v="1.57"/>
  </r>
  <r>
    <x v="122"/>
    <x v="1"/>
    <s v="14:50"/>
    <x v="1"/>
    <s v="Bananas"/>
    <s v="Fresh Produce"/>
    <n v="1"/>
    <n v="0.95"/>
    <s v="No"/>
    <n v="51"/>
    <n v="3"/>
    <n v="6"/>
    <n v="1.9"/>
    <n v="0.95"/>
  </r>
  <r>
    <x v="123"/>
    <x v="19"/>
    <s v="18:10"/>
    <x v="6"/>
    <s v="Greek Yogurt"/>
    <s v="Dairy"/>
    <n v="2"/>
    <n v="1.85"/>
    <s v="No"/>
    <n v="23"/>
    <n v="0"/>
    <n v="7"/>
    <n v="3.9"/>
    <n v="3.7"/>
  </r>
  <r>
    <x v="124"/>
    <x v="21"/>
    <s v="12:00"/>
    <x v="5"/>
    <s v="Ice Cream"/>
    <s v="Frozen"/>
    <n v="3"/>
    <n v="3.95"/>
    <s v="No"/>
    <n v="44"/>
    <n v="0"/>
    <n v="9"/>
    <n v="4.5"/>
    <n v="11.850000000000001"/>
  </r>
  <r>
    <x v="125"/>
    <x v="15"/>
    <s v="10:50"/>
    <x v="2"/>
    <s v="Washing Liquid"/>
    <s v="Household"/>
    <n v="1"/>
    <n v="3.99"/>
    <s v="No"/>
    <n v="58"/>
    <n v="0"/>
    <n v="4"/>
    <n v="3.6"/>
    <n v="3.99"/>
  </r>
  <r>
    <x v="126"/>
    <x v="62"/>
    <s v="08:05"/>
    <x v="2"/>
    <s v="Greek Yogurt"/>
    <s v="Dairy"/>
    <n v="1"/>
    <n v="1.57"/>
    <s v="Yes"/>
    <n v="15"/>
    <n v="0"/>
    <n v="6"/>
    <n v="1.1000000000000001"/>
    <n v="1.57"/>
  </r>
  <r>
    <x v="127"/>
    <x v="55"/>
    <s v="16:20"/>
    <x v="3"/>
    <s v="Ice Cream"/>
    <s v="Frozen"/>
    <n v="1"/>
    <n v="3.95"/>
    <s v="No"/>
    <n v="27"/>
    <n v="0"/>
    <n v="5"/>
    <n v="4.2"/>
    <n v="3.95"/>
  </r>
  <r>
    <x v="128"/>
    <x v="19"/>
    <s v="13:25"/>
    <x v="6"/>
    <s v="Apples"/>
    <s v="Fresh Produce"/>
    <n v="2"/>
    <n v="1.52"/>
    <s v="Yes"/>
    <n v="19"/>
    <n v="0"/>
    <n v="9"/>
    <n v="4.5999999999999996"/>
    <n v="3.04"/>
  </r>
  <r>
    <x v="129"/>
    <x v="10"/>
    <s v="19:55"/>
    <x v="3"/>
    <s v="Bananas"/>
    <s v="Fresh Produce"/>
    <n v="2"/>
    <n v="0.81"/>
    <s v="Yes"/>
    <n v="27"/>
    <n v="0"/>
    <n v="9"/>
    <n v="5.4"/>
    <n v="1.62"/>
  </r>
  <r>
    <x v="130"/>
    <x v="37"/>
    <s v="12:15"/>
    <x v="4"/>
    <s v="White Bread"/>
    <s v="Bakery"/>
    <n v="3"/>
    <n v="1.39"/>
    <s v="No"/>
    <n v="25"/>
    <n v="0"/>
    <n v="6"/>
    <n v="3.8"/>
    <n v="4.17"/>
  </r>
  <r>
    <x v="131"/>
    <x v="19"/>
    <s v="12:20"/>
    <x v="6"/>
    <s v="Cola 2L"/>
    <s v="Drinks"/>
    <n v="1"/>
    <n v="1.49"/>
    <s v="Yes"/>
    <n v="36"/>
    <n v="0"/>
    <n v="7"/>
    <n v="4.4000000000000004"/>
    <n v="1.49"/>
  </r>
  <r>
    <x v="132"/>
    <x v="63"/>
    <s v="17:10"/>
    <x v="6"/>
    <s v="Greek Yogurt"/>
    <s v="Dairy"/>
    <n v="3"/>
    <n v="1.85"/>
    <s v="No"/>
    <n v="60"/>
    <n v="0"/>
    <n v="8"/>
    <n v="4.0999999999999996"/>
    <n v="5.5500000000000007"/>
  </r>
  <r>
    <x v="133"/>
    <x v="17"/>
    <s v="20:00"/>
    <x v="5"/>
    <s v="Orange Juice"/>
    <s v="Drinks"/>
    <n v="1"/>
    <n v="1.89"/>
    <s v="No"/>
    <n v="10"/>
    <n v="0"/>
    <n v="4"/>
    <n v="4.0999999999999996"/>
    <n v="1.89"/>
  </r>
  <r>
    <x v="134"/>
    <x v="64"/>
    <s v="13:40"/>
    <x v="4"/>
    <s v="Apples"/>
    <s v="Fresh Produce"/>
    <n v="2"/>
    <n v="1.79"/>
    <s v="No"/>
    <n v="23"/>
    <n v="0"/>
    <n v="9"/>
    <n v="6.2"/>
    <n v="3.58"/>
  </r>
  <r>
    <x v="135"/>
    <x v="65"/>
    <s v="17:05"/>
    <x v="3"/>
    <s v="Greek Yogurt"/>
    <s v="Dairy"/>
    <n v="1"/>
    <n v="1.85"/>
    <s v="No"/>
    <n v="48"/>
    <n v="0"/>
    <n v="9"/>
    <n v="5.2"/>
    <n v="1.85"/>
  </r>
  <r>
    <x v="136"/>
    <x v="35"/>
    <s v="16:25"/>
    <x v="0"/>
    <s v="Frozen Chips"/>
    <s v="Frozen"/>
    <n v="2"/>
    <n v="1.91"/>
    <s v="Yes"/>
    <n v="11"/>
    <n v="0"/>
    <n v="4"/>
    <n v="2.8"/>
    <n v="3.82"/>
  </r>
  <r>
    <x v="137"/>
    <x v="64"/>
    <s v="18:40"/>
    <x v="4"/>
    <s v="Kitchen Roll"/>
    <s v="Household"/>
    <n v="1"/>
    <n v="3.29"/>
    <s v="No"/>
    <n v="45"/>
    <n v="0"/>
    <n v="9"/>
    <n v="6.1"/>
    <n v="3.29"/>
  </r>
  <r>
    <x v="138"/>
    <x v="57"/>
    <s v="17:45"/>
    <x v="4"/>
    <s v="Orange Juice"/>
    <s v="Drinks"/>
    <n v="3"/>
    <n v="1.89"/>
    <s v="No"/>
    <n v="55"/>
    <n v="0"/>
    <n v="7"/>
    <n v="4.4000000000000004"/>
    <n v="5.67"/>
  </r>
  <r>
    <x v="139"/>
    <x v="17"/>
    <s v="14:05"/>
    <x v="5"/>
    <s v="Tomatoes"/>
    <s v="Fresh Produce"/>
    <n v="1"/>
    <n v="1.49"/>
    <s v="No"/>
    <n v="43"/>
    <n v="0"/>
    <n v="4"/>
    <n v="4.5999999999999996"/>
    <n v="1.49"/>
  </r>
  <r>
    <x v="140"/>
    <x v="0"/>
    <s v="09:20"/>
    <x v="0"/>
    <s v="Chocolate Cookies"/>
    <s v="Bakery"/>
    <n v="1"/>
    <n v="1.44"/>
    <s v="Yes"/>
    <n v="58"/>
    <n v="0"/>
    <n v="6"/>
    <n v="2.6"/>
    <n v="1.44"/>
  </r>
  <r>
    <x v="141"/>
    <x v="5"/>
    <s v="14:35"/>
    <x v="4"/>
    <s v="Frozen Chips"/>
    <s v="Frozen"/>
    <n v="3"/>
    <n v="2.25"/>
    <s v="No"/>
    <n v="19"/>
    <n v="0"/>
    <n v="4"/>
    <n v="3.7"/>
    <n v="6.75"/>
  </r>
  <r>
    <x v="142"/>
    <x v="66"/>
    <s v="17:15"/>
    <x v="2"/>
    <s v="Tomatoes"/>
    <s v="Fresh Produce"/>
    <n v="3"/>
    <n v="1.49"/>
    <s v="No"/>
    <n v="47"/>
    <n v="0"/>
    <n v="8"/>
    <n v="5.7"/>
    <n v="4.47"/>
  </r>
  <r>
    <x v="143"/>
    <x v="59"/>
    <s v="16:40"/>
    <x v="6"/>
    <s v="Greek Yogurt"/>
    <s v="Dairy"/>
    <n v="1"/>
    <n v="1.85"/>
    <s v="No"/>
    <n v="14"/>
    <n v="0"/>
    <n v="4"/>
    <n v="3.5"/>
    <n v="1.85"/>
  </r>
  <r>
    <x v="144"/>
    <x v="12"/>
    <s v="17:30"/>
    <x v="5"/>
    <s v="Frozen Pizza"/>
    <s v="Frozen"/>
    <n v="1"/>
    <n v="3.49"/>
    <s v="No"/>
    <n v="39"/>
    <n v="0"/>
    <n v="7"/>
    <n v="4.4000000000000004"/>
    <n v="3.49"/>
  </r>
  <r>
    <x v="145"/>
    <x v="15"/>
    <s v="12:30"/>
    <x v="2"/>
    <s v="Frozen Chips"/>
    <s v="Frozen"/>
    <n v="2"/>
    <n v="1.91"/>
    <s v="Yes"/>
    <n v="37"/>
    <n v="0"/>
    <n v="7"/>
    <n v="5.0999999999999996"/>
    <n v="3.82"/>
  </r>
  <r>
    <x v="146"/>
    <x v="16"/>
    <s v="16:05"/>
    <x v="1"/>
    <s v="Washing Liquid"/>
    <s v="Household"/>
    <n v="1"/>
    <n v="3.99"/>
    <s v="No"/>
    <n v="11"/>
    <n v="0"/>
    <n v="7"/>
    <n v="2.2999999999999998"/>
    <n v="3.99"/>
  </r>
  <r>
    <x v="147"/>
    <x v="15"/>
    <s v="14:40"/>
    <x v="2"/>
    <s v="Kitchen Roll"/>
    <s v="Household"/>
    <n v="1"/>
    <n v="3.29"/>
    <s v="No"/>
    <n v="36"/>
    <n v="0"/>
    <n v="6"/>
    <n v="2.2999999999999998"/>
    <n v="3.29"/>
  </r>
  <r>
    <x v="148"/>
    <x v="54"/>
    <s v="13:10"/>
    <x v="6"/>
    <s v="White Bread"/>
    <s v="Bakery"/>
    <n v="2"/>
    <n v="1.18"/>
    <s v="Yes"/>
    <n v="23"/>
    <n v="0"/>
    <n v="6"/>
    <n v="3.9"/>
    <n v="2.36"/>
  </r>
  <r>
    <x v="149"/>
    <x v="11"/>
    <s v="14:40"/>
    <x v="1"/>
    <s v="Frozen Pizza"/>
    <s v="Frozen"/>
    <n v="1"/>
    <n v="3.49"/>
    <s v="No"/>
    <n v="47"/>
    <n v="0"/>
    <n v="4"/>
    <n v="3.2"/>
    <n v="3.49"/>
  </r>
  <r>
    <x v="150"/>
    <x v="52"/>
    <s v="13:40"/>
    <x v="5"/>
    <s v="Frozen Pizza"/>
    <s v="Frozen"/>
    <n v="1"/>
    <n v="3.49"/>
    <s v="No"/>
    <n v="27"/>
    <n v="0"/>
    <n v="7"/>
    <n v="5.3"/>
    <n v="3.49"/>
  </r>
  <r>
    <x v="151"/>
    <x v="63"/>
    <s v="07:55"/>
    <x v="6"/>
    <s v="Kitchen Roll"/>
    <s v="Household"/>
    <n v="1"/>
    <n v="3.29"/>
    <s v="No"/>
    <n v="19"/>
    <n v="0"/>
    <n v="4"/>
    <n v="3"/>
    <n v="3.29"/>
  </r>
  <r>
    <x v="152"/>
    <x v="52"/>
    <s v="08:50"/>
    <x v="5"/>
    <s v="Ice Cream"/>
    <s v="Frozen"/>
    <n v="3"/>
    <n v="3.95"/>
    <s v="No"/>
    <n v="16"/>
    <n v="0"/>
    <n v="7"/>
    <n v="2"/>
    <n v="11.850000000000001"/>
  </r>
  <r>
    <x v="153"/>
    <x v="22"/>
    <s v="09:30"/>
    <x v="2"/>
    <s v="Cola 2L"/>
    <s v="Drinks"/>
    <n v="1"/>
    <n v="1.49"/>
    <s v="Yes"/>
    <n v="24"/>
    <n v="0"/>
    <n v="5"/>
    <n v="3.2"/>
    <n v="1.49"/>
  </r>
  <r>
    <x v="154"/>
    <x v="7"/>
    <s v="19:20"/>
    <x v="1"/>
    <s v="Cola 2L"/>
    <s v="Drinks"/>
    <n v="1"/>
    <n v="1.75"/>
    <s v="No"/>
    <n v="55"/>
    <n v="0"/>
    <n v="9"/>
    <n v="4.3"/>
    <n v="1.75"/>
  </r>
  <r>
    <x v="155"/>
    <x v="34"/>
    <s v="16:10"/>
    <x v="6"/>
    <s v="Milk 2L"/>
    <s v="Dairy"/>
    <n v="1"/>
    <n v="1.32"/>
    <s v="Yes"/>
    <n v="6"/>
    <n v="1"/>
    <n v="5"/>
    <n v="4.9000000000000004"/>
    <n v="1.32"/>
  </r>
  <r>
    <x v="156"/>
    <x v="67"/>
    <s v="16:45"/>
    <x v="2"/>
    <s v="Tomatoes"/>
    <s v="Fresh Produce"/>
    <n v="2"/>
    <n v="1.49"/>
    <s v="No"/>
    <n v="33"/>
    <n v="2"/>
    <n v="7"/>
    <n v="2.2000000000000002"/>
    <n v="2.98"/>
  </r>
  <r>
    <x v="157"/>
    <x v="62"/>
    <s v="19:35"/>
    <x v="2"/>
    <s v="Apples"/>
    <s v="Fresh Produce"/>
    <n v="1"/>
    <n v="1.79"/>
    <s v="No"/>
    <n v="49"/>
    <n v="0"/>
    <n v="7"/>
    <n v="3.7"/>
    <n v="1.79"/>
  </r>
  <r>
    <x v="158"/>
    <x v="8"/>
    <s v="16:40"/>
    <x v="0"/>
    <s v="Cola 2L"/>
    <s v="Drinks"/>
    <n v="1"/>
    <n v="1.75"/>
    <s v="No"/>
    <n v="60"/>
    <n v="0"/>
    <n v="6"/>
    <n v="2.5"/>
    <n v="1.75"/>
  </r>
  <r>
    <x v="159"/>
    <x v="42"/>
    <s v="18:45"/>
    <x v="5"/>
    <s v="Cheddar Cheese"/>
    <s v="Dairy"/>
    <n v="1"/>
    <n v="2.79"/>
    <s v="No"/>
    <n v="43"/>
    <n v="1"/>
    <n v="9"/>
    <n v="6"/>
    <n v="2.79"/>
  </r>
  <r>
    <x v="160"/>
    <x v="59"/>
    <s v="14:00"/>
    <x v="6"/>
    <s v="Cheddar Cheese"/>
    <s v="Dairy"/>
    <n v="3"/>
    <n v="2.79"/>
    <s v="No"/>
    <n v="5"/>
    <n v="0"/>
    <n v="5"/>
    <n v="3.4"/>
    <n v="8.370000000000001"/>
  </r>
  <r>
    <x v="161"/>
    <x v="68"/>
    <s v="16:30"/>
    <x v="1"/>
    <s v="Apples"/>
    <s v="Fresh Produce"/>
    <n v="1"/>
    <n v="1.52"/>
    <s v="Yes"/>
    <n v="3"/>
    <n v="2"/>
    <n v="4"/>
    <n v="4"/>
    <n v="1.52"/>
  </r>
  <r>
    <x v="162"/>
    <x v="36"/>
    <s v="13:35"/>
    <x v="2"/>
    <s v="Apples"/>
    <s v="Fresh Produce"/>
    <n v="2"/>
    <n v="1.79"/>
    <s v="No"/>
    <n v="21"/>
    <n v="0"/>
    <n v="7"/>
    <n v="4.4000000000000004"/>
    <n v="3.58"/>
  </r>
  <r>
    <x v="163"/>
    <x v="69"/>
    <s v="19:50"/>
    <x v="2"/>
    <s v="Cheddar Cheese"/>
    <s v="Dairy"/>
    <n v="2"/>
    <n v="2.37"/>
    <s v="Yes"/>
    <n v="29"/>
    <n v="0"/>
    <n v="9"/>
    <n v="4.0999999999999996"/>
    <n v="4.74"/>
  </r>
  <r>
    <x v="164"/>
    <x v="51"/>
    <s v="14:35"/>
    <x v="5"/>
    <s v="Washing Liquid"/>
    <s v="Household"/>
    <n v="2"/>
    <n v="3.99"/>
    <s v="No"/>
    <n v="51"/>
    <n v="0"/>
    <n v="6"/>
    <n v="2.6"/>
    <n v="7.98"/>
  </r>
  <r>
    <x v="165"/>
    <x v="20"/>
    <s v="18:10"/>
    <x v="5"/>
    <s v="Croissants"/>
    <s v="Bakery"/>
    <n v="3"/>
    <n v="1.99"/>
    <s v="No"/>
    <n v="52"/>
    <n v="1"/>
    <n v="7"/>
    <n v="3.9"/>
    <n v="5.97"/>
  </r>
  <r>
    <x v="166"/>
    <x v="56"/>
    <s v="13:40"/>
    <x v="5"/>
    <s v="Bananas"/>
    <s v="Fresh Produce"/>
    <n v="1"/>
    <n v="0.95"/>
    <s v="No"/>
    <n v="53"/>
    <n v="1"/>
    <n v="7"/>
    <n v="2.9"/>
    <n v="0.95"/>
  </r>
  <r>
    <x v="167"/>
    <x v="65"/>
    <s v="21:20"/>
    <x v="3"/>
    <s v="Greek Yogurt"/>
    <s v="Dairy"/>
    <n v="3"/>
    <n v="1.85"/>
    <s v="No"/>
    <n v="3"/>
    <n v="0"/>
    <n v="6"/>
    <n v="2.1"/>
    <n v="5.5500000000000007"/>
  </r>
  <r>
    <x v="168"/>
    <x v="18"/>
    <s v="14:15"/>
    <x v="1"/>
    <s v="Washing Liquid"/>
    <s v="Household"/>
    <n v="2"/>
    <n v="3.99"/>
    <s v="No"/>
    <n v="9"/>
    <n v="0"/>
    <n v="4"/>
    <n v="3.7"/>
    <n v="7.98"/>
  </r>
  <r>
    <x v="169"/>
    <x v="13"/>
    <s v="14:45"/>
    <x v="6"/>
    <s v="Frozen Chips"/>
    <s v="Frozen"/>
    <n v="1"/>
    <n v="2.25"/>
    <s v="No"/>
    <n v="38"/>
    <n v="1"/>
    <n v="5"/>
    <n v="2.8"/>
    <n v="2.25"/>
  </r>
  <r>
    <x v="170"/>
    <x v="52"/>
    <s v="18:20"/>
    <x v="5"/>
    <s v="Chocolate Cookies"/>
    <s v="Bakery"/>
    <n v="1"/>
    <n v="1.69"/>
    <s v="No"/>
    <n v="7"/>
    <n v="0"/>
    <n v="9"/>
    <n v="4.7"/>
    <n v="1.69"/>
  </r>
  <r>
    <x v="171"/>
    <x v="8"/>
    <s v="17:50"/>
    <x v="0"/>
    <s v="Ice Cream"/>
    <s v="Frozen"/>
    <n v="4"/>
    <n v="3.36"/>
    <s v="Yes"/>
    <n v="59"/>
    <n v="0"/>
    <n v="8"/>
    <n v="5"/>
    <n v="13.44"/>
  </r>
  <r>
    <x v="172"/>
    <x v="12"/>
    <s v="12:40"/>
    <x v="5"/>
    <s v="Orange Juice"/>
    <s v="Drinks"/>
    <n v="2"/>
    <n v="1.89"/>
    <s v="No"/>
    <n v="44"/>
    <n v="0"/>
    <n v="9"/>
    <n v="5.4"/>
    <n v="3.78"/>
  </r>
  <r>
    <x v="173"/>
    <x v="69"/>
    <s v="07:35"/>
    <x v="2"/>
    <s v="White Bread"/>
    <s v="Bakery"/>
    <n v="1"/>
    <n v="1.18"/>
    <s v="Yes"/>
    <n v="5"/>
    <n v="0"/>
    <n v="5"/>
    <n v="5.0999999999999996"/>
    <n v="1.18"/>
  </r>
  <r>
    <x v="174"/>
    <x v="70"/>
    <s v="12:30"/>
    <x v="4"/>
    <s v="White Bread"/>
    <s v="Bakery"/>
    <n v="1"/>
    <n v="1.18"/>
    <s v="Yes"/>
    <n v="27"/>
    <n v="2"/>
    <n v="6"/>
    <n v="4.8"/>
    <n v="1.18"/>
  </r>
  <r>
    <x v="175"/>
    <x v="20"/>
    <s v="16:55"/>
    <x v="5"/>
    <s v="Croissants"/>
    <s v="Bakery"/>
    <n v="3"/>
    <n v="1.99"/>
    <s v="No"/>
    <n v="4"/>
    <n v="3"/>
    <n v="6"/>
    <n v="1.6"/>
    <n v="5.97"/>
  </r>
  <r>
    <x v="176"/>
    <x v="18"/>
    <s v="09:25"/>
    <x v="1"/>
    <s v="Bottled Water 6pk"/>
    <s v="Drinks"/>
    <n v="2"/>
    <n v="2.4900000000000002"/>
    <s v="No"/>
    <n v="6"/>
    <n v="0"/>
    <n v="7"/>
    <n v="2"/>
    <n v="4.9800000000000004"/>
  </r>
  <r>
    <x v="177"/>
    <x v="48"/>
    <s v="21:10"/>
    <x v="5"/>
    <s v="Washing Liquid"/>
    <s v="Household"/>
    <n v="1"/>
    <n v="3.99"/>
    <s v="No"/>
    <n v="38"/>
    <n v="0"/>
    <n v="4"/>
    <n v="4.5999999999999996"/>
    <n v="3.99"/>
  </r>
  <r>
    <x v="178"/>
    <x v="20"/>
    <s v="19:25"/>
    <x v="5"/>
    <s v="Washing Liquid"/>
    <s v="Household"/>
    <n v="4"/>
    <n v="3.99"/>
    <s v="No"/>
    <n v="33"/>
    <n v="0"/>
    <n v="9"/>
    <n v="4.5999999999999996"/>
    <n v="15.96"/>
  </r>
  <r>
    <x v="179"/>
    <x v="4"/>
    <s v="10:55"/>
    <x v="4"/>
    <s v="Orange Juice"/>
    <s v="Drinks"/>
    <n v="1"/>
    <n v="1.89"/>
    <s v="No"/>
    <n v="24"/>
    <n v="0"/>
    <n v="4"/>
    <n v="4.5"/>
    <n v="1.89"/>
  </r>
  <r>
    <x v="180"/>
    <x v="59"/>
    <s v="18:40"/>
    <x v="6"/>
    <s v="Kitchen Roll"/>
    <s v="Household"/>
    <n v="1"/>
    <n v="3.29"/>
    <s v="No"/>
    <n v="40"/>
    <n v="0"/>
    <n v="7"/>
    <n v="3.8"/>
    <n v="3.29"/>
  </r>
  <r>
    <x v="181"/>
    <x v="38"/>
    <s v="17:30"/>
    <x v="1"/>
    <s v="Orange Juice"/>
    <s v="Drinks"/>
    <n v="1"/>
    <n v="1.61"/>
    <s v="Yes"/>
    <n v="17"/>
    <n v="0"/>
    <n v="6"/>
    <n v="5.0999999999999996"/>
    <n v="1.61"/>
  </r>
  <r>
    <x v="182"/>
    <x v="71"/>
    <s v="19:50"/>
    <x v="6"/>
    <s v="Orange Juice"/>
    <s v="Drinks"/>
    <n v="2"/>
    <n v="1.89"/>
    <s v="No"/>
    <n v="12"/>
    <n v="0"/>
    <n v="6"/>
    <n v="3.7"/>
    <n v="3.78"/>
  </r>
  <r>
    <x v="183"/>
    <x v="31"/>
    <s v="12:05"/>
    <x v="4"/>
    <s v="Washing Liquid"/>
    <s v="Household"/>
    <n v="2"/>
    <n v="3.39"/>
    <s v="Yes"/>
    <n v="7"/>
    <n v="0"/>
    <n v="7"/>
    <n v="3.1"/>
    <n v="6.78"/>
  </r>
  <r>
    <x v="184"/>
    <x v="62"/>
    <s v="18:50"/>
    <x v="2"/>
    <s v="Milk 2L"/>
    <s v="Dairy"/>
    <n v="1"/>
    <n v="1.55"/>
    <s v="No"/>
    <n v="20"/>
    <n v="0"/>
    <n v="7"/>
    <n v="5.8"/>
    <n v="1.55"/>
  </r>
  <r>
    <x v="185"/>
    <x v="72"/>
    <s v="09:50"/>
    <x v="3"/>
    <s v="Frozen Chips"/>
    <s v="Frozen"/>
    <n v="2"/>
    <n v="2.25"/>
    <s v="No"/>
    <n v="32"/>
    <n v="0"/>
    <n v="5"/>
    <n v="3.8"/>
    <n v="4.5"/>
  </r>
  <r>
    <x v="186"/>
    <x v="8"/>
    <s v="14:50"/>
    <x v="0"/>
    <s v="Apples"/>
    <s v="Fresh Produce"/>
    <n v="1"/>
    <n v="1.79"/>
    <s v="No"/>
    <n v="47"/>
    <n v="0"/>
    <n v="5"/>
    <n v="4"/>
    <n v="1.79"/>
  </r>
  <r>
    <x v="187"/>
    <x v="0"/>
    <s v="12:15"/>
    <x v="0"/>
    <s v="Orange Juice"/>
    <s v="Drinks"/>
    <n v="2"/>
    <n v="1.61"/>
    <s v="Yes"/>
    <n v="12"/>
    <n v="0"/>
    <n v="7"/>
    <n v="6.7"/>
    <n v="3.22"/>
  </r>
  <r>
    <x v="188"/>
    <x v="41"/>
    <s v="19:15"/>
    <x v="5"/>
    <s v="Greek Yogurt"/>
    <s v="Dairy"/>
    <n v="2"/>
    <n v="1.57"/>
    <s v="Yes"/>
    <n v="18"/>
    <n v="0"/>
    <n v="8"/>
    <n v="3.6"/>
    <n v="3.14"/>
  </r>
  <r>
    <x v="189"/>
    <x v="64"/>
    <s v="14:35"/>
    <x v="4"/>
    <s v="Frozen Pizza"/>
    <s v="Frozen"/>
    <n v="2"/>
    <n v="3.49"/>
    <s v="No"/>
    <n v="48"/>
    <n v="0"/>
    <n v="6"/>
    <n v="2.7"/>
    <n v="6.98"/>
  </r>
  <r>
    <x v="190"/>
    <x v="27"/>
    <s v="12:30"/>
    <x v="3"/>
    <s v="Frozen Chips"/>
    <s v="Frozen"/>
    <n v="1"/>
    <n v="1.91"/>
    <s v="Yes"/>
    <n v="53"/>
    <n v="0"/>
    <n v="8"/>
    <n v="4.2"/>
    <n v="1.91"/>
  </r>
  <r>
    <x v="191"/>
    <x v="52"/>
    <s v="13:15"/>
    <x v="5"/>
    <s v="Kitchen Roll"/>
    <s v="Household"/>
    <n v="1"/>
    <n v="2.8"/>
    <s v="Yes"/>
    <n v="32"/>
    <n v="0"/>
    <n v="7"/>
    <n v="4.5"/>
    <n v="2.8"/>
  </r>
  <r>
    <x v="192"/>
    <x v="29"/>
    <s v="18:00"/>
    <x v="5"/>
    <s v="Bananas"/>
    <s v="Fresh Produce"/>
    <n v="1"/>
    <n v="0.95"/>
    <s v="No"/>
    <n v="55"/>
    <n v="0"/>
    <n v="9"/>
    <n v="3.6"/>
    <n v="0.95"/>
  </r>
  <r>
    <x v="193"/>
    <x v="73"/>
    <s v="12:25"/>
    <x v="5"/>
    <s v="Frozen Chips"/>
    <s v="Frozen"/>
    <n v="2"/>
    <n v="2.25"/>
    <s v="No"/>
    <n v="55"/>
    <n v="0"/>
    <n v="6"/>
    <n v="3.7"/>
    <n v="4.5"/>
  </r>
  <r>
    <x v="194"/>
    <x v="60"/>
    <s v="18:40"/>
    <x v="4"/>
    <s v="Orange Juice"/>
    <s v="Drinks"/>
    <n v="1"/>
    <n v="1.89"/>
    <s v="No"/>
    <n v="57"/>
    <n v="0"/>
    <n v="8"/>
    <n v="5"/>
    <n v="1.89"/>
  </r>
  <r>
    <x v="195"/>
    <x v="33"/>
    <s v="17:00"/>
    <x v="2"/>
    <s v="Greek Yogurt"/>
    <s v="Dairy"/>
    <n v="3"/>
    <n v="1.57"/>
    <s v="Yes"/>
    <n v="21"/>
    <n v="0"/>
    <n v="9"/>
    <n v="3.5"/>
    <n v="4.71"/>
  </r>
  <r>
    <x v="196"/>
    <x v="72"/>
    <s v="08:30"/>
    <x v="3"/>
    <s v="Apples"/>
    <s v="Fresh Produce"/>
    <n v="1"/>
    <n v="1.52"/>
    <s v="Yes"/>
    <n v="18"/>
    <n v="0"/>
    <n v="5"/>
    <n v="3"/>
    <n v="1.52"/>
  </r>
  <r>
    <x v="197"/>
    <x v="15"/>
    <s v="12:40"/>
    <x v="2"/>
    <s v="Croissants"/>
    <s v="Bakery"/>
    <n v="2"/>
    <n v="1.69"/>
    <s v="Yes"/>
    <n v="47"/>
    <n v="1"/>
    <n v="8"/>
    <n v="4.5"/>
    <n v="3.38"/>
  </r>
  <r>
    <x v="198"/>
    <x v="74"/>
    <s v="16:20"/>
    <x v="0"/>
    <s v="Frozen Chips"/>
    <s v="Frozen"/>
    <n v="2"/>
    <n v="2.25"/>
    <s v="No"/>
    <n v="14"/>
    <n v="0"/>
    <n v="7"/>
    <n v="1.9"/>
    <n v="4.5"/>
  </r>
  <r>
    <x v="199"/>
    <x v="19"/>
    <s v="12:40"/>
    <x v="6"/>
    <s v="Ice Cream"/>
    <s v="Frozen"/>
    <n v="1"/>
    <n v="3.95"/>
    <s v="No"/>
    <n v="14"/>
    <n v="0"/>
    <n v="7"/>
    <n v="5.5"/>
    <n v="3.95"/>
  </r>
  <r>
    <x v="200"/>
    <x v="46"/>
    <s v="19:05"/>
    <x v="2"/>
    <s v="Tomatoes"/>
    <s v="Fresh Produce"/>
    <n v="1"/>
    <n v="1.49"/>
    <s v="No"/>
    <n v="43"/>
    <n v="0"/>
    <n v="6"/>
    <n v="4.9000000000000004"/>
    <n v="1.49"/>
  </r>
  <r>
    <x v="201"/>
    <x v="44"/>
    <s v="16:40"/>
    <x v="3"/>
    <s v="Ice Cream"/>
    <s v="Frozen"/>
    <n v="4"/>
    <n v="3.95"/>
    <s v="No"/>
    <n v="53"/>
    <n v="1"/>
    <n v="6"/>
    <n v="1.9"/>
    <n v="15.8"/>
  </r>
  <r>
    <x v="202"/>
    <x v="75"/>
    <s v="07:40"/>
    <x v="4"/>
    <s v="Cheddar Cheese"/>
    <s v="Dairy"/>
    <n v="1"/>
    <n v="2.37"/>
    <s v="Yes"/>
    <n v="31"/>
    <n v="0"/>
    <n v="5"/>
    <n v="2.8"/>
    <n v="2.37"/>
  </r>
  <r>
    <x v="203"/>
    <x v="29"/>
    <s v="08:10"/>
    <x v="5"/>
    <s v="Bottled Water 6pk"/>
    <s v="Drinks"/>
    <n v="3"/>
    <n v="2.4900000000000002"/>
    <s v="No"/>
    <n v="8"/>
    <n v="0"/>
    <n v="4"/>
    <n v="2.5"/>
    <n v="7.4700000000000006"/>
  </r>
  <r>
    <x v="204"/>
    <x v="8"/>
    <s v="20:45"/>
    <x v="0"/>
    <s v="Orange Juice"/>
    <s v="Drinks"/>
    <n v="1"/>
    <n v="1.89"/>
    <s v="No"/>
    <n v="30"/>
    <n v="0"/>
    <n v="5"/>
    <n v="2.9"/>
    <n v="1.89"/>
  </r>
  <r>
    <x v="205"/>
    <x v="2"/>
    <s v="17:55"/>
    <x v="2"/>
    <s v="Bananas"/>
    <s v="Fresh Produce"/>
    <n v="1"/>
    <n v="0.95"/>
    <s v="No"/>
    <n v="4"/>
    <n v="0"/>
    <n v="9"/>
    <n v="4.2"/>
    <n v="0.95"/>
  </r>
  <r>
    <x v="206"/>
    <x v="4"/>
    <s v="14:15"/>
    <x v="4"/>
    <s v="Greek Yogurt"/>
    <s v="Dairy"/>
    <n v="1"/>
    <n v="1.85"/>
    <s v="No"/>
    <n v="35"/>
    <n v="1"/>
    <n v="5"/>
    <n v="2.6"/>
    <n v="1.85"/>
  </r>
  <r>
    <x v="207"/>
    <x v="16"/>
    <s v="19:10"/>
    <x v="1"/>
    <s v="Greek Yogurt"/>
    <s v="Dairy"/>
    <n v="1"/>
    <n v="1.85"/>
    <s v="No"/>
    <n v="43"/>
    <n v="0"/>
    <n v="6"/>
    <n v="6"/>
    <n v="1.85"/>
  </r>
  <r>
    <x v="208"/>
    <x v="15"/>
    <s v="14:00"/>
    <x v="2"/>
    <s v="Croissants"/>
    <s v="Bakery"/>
    <n v="1"/>
    <n v="1.99"/>
    <s v="No"/>
    <n v="34"/>
    <n v="1"/>
    <n v="4"/>
    <n v="3.5"/>
    <n v="1.99"/>
  </r>
  <r>
    <x v="209"/>
    <x v="14"/>
    <s v="14:40"/>
    <x v="3"/>
    <s v="White Bread"/>
    <s v="Bakery"/>
    <n v="1"/>
    <n v="1.39"/>
    <s v="No"/>
    <n v="15"/>
    <n v="0"/>
    <n v="4"/>
    <n v="4.4000000000000004"/>
    <n v="1.39"/>
  </r>
  <r>
    <x v="210"/>
    <x v="15"/>
    <s v="18:10"/>
    <x v="2"/>
    <s v="Bin Bags"/>
    <s v="Household"/>
    <n v="1"/>
    <n v="2.69"/>
    <s v="No"/>
    <n v="24"/>
    <n v="0"/>
    <n v="9"/>
    <n v="4.5999999999999996"/>
    <n v="2.69"/>
  </r>
  <r>
    <x v="211"/>
    <x v="20"/>
    <s v="14:15"/>
    <x v="5"/>
    <s v="Cola 2L"/>
    <s v="Drinks"/>
    <n v="1"/>
    <n v="1.75"/>
    <s v="No"/>
    <n v="46"/>
    <n v="0"/>
    <n v="6"/>
    <n v="1.6"/>
    <n v="1.75"/>
  </r>
  <r>
    <x v="212"/>
    <x v="50"/>
    <s v="16:35"/>
    <x v="3"/>
    <s v="Frozen Chips"/>
    <s v="Frozen"/>
    <n v="2"/>
    <n v="2.25"/>
    <s v="No"/>
    <n v="34"/>
    <n v="0"/>
    <n v="6"/>
    <n v="2.6"/>
    <n v="4.5"/>
  </r>
  <r>
    <x v="213"/>
    <x v="42"/>
    <s v="08:15"/>
    <x v="5"/>
    <s v="Milk 2L"/>
    <s v="Dairy"/>
    <n v="1"/>
    <n v="1.55"/>
    <s v="No"/>
    <n v="14"/>
    <n v="0"/>
    <n v="5"/>
    <n v="2.5"/>
    <n v="1.55"/>
  </r>
  <r>
    <x v="214"/>
    <x v="71"/>
    <s v="16:00"/>
    <x v="6"/>
    <s v="Orange Juice"/>
    <s v="Drinks"/>
    <n v="4"/>
    <n v="1.89"/>
    <s v="No"/>
    <n v="28"/>
    <n v="0"/>
    <n v="7"/>
    <n v="1.5"/>
    <n v="7.56"/>
  </r>
  <r>
    <x v="215"/>
    <x v="49"/>
    <s v="08:00"/>
    <x v="6"/>
    <s v="Greek Yogurt"/>
    <s v="Dairy"/>
    <n v="1"/>
    <n v="1.57"/>
    <s v="Yes"/>
    <n v="51"/>
    <n v="0"/>
    <n v="7"/>
    <n v="2.5"/>
    <n v="1.57"/>
  </r>
  <r>
    <x v="216"/>
    <x v="10"/>
    <s v="19:45"/>
    <x v="3"/>
    <s v="Bin Bags"/>
    <s v="Household"/>
    <n v="1"/>
    <n v="2.69"/>
    <s v="No"/>
    <n v="57"/>
    <n v="0"/>
    <n v="9"/>
    <n v="4.8"/>
    <n v="2.69"/>
  </r>
  <r>
    <x v="217"/>
    <x v="23"/>
    <s v="13:35"/>
    <x v="2"/>
    <s v="Ice Cream"/>
    <s v="Frozen"/>
    <n v="1"/>
    <n v="3.95"/>
    <s v="No"/>
    <n v="21"/>
    <n v="0"/>
    <n v="7"/>
    <n v="4.5999999999999996"/>
    <n v="3.95"/>
  </r>
  <r>
    <x v="218"/>
    <x v="21"/>
    <s v="15:40"/>
    <x v="5"/>
    <s v="Ice Cream"/>
    <s v="Frozen"/>
    <n v="1"/>
    <n v="3.95"/>
    <s v="No"/>
    <n v="23"/>
    <n v="0"/>
    <n v="5"/>
    <n v="5"/>
    <n v="3.95"/>
  </r>
  <r>
    <x v="219"/>
    <x v="76"/>
    <s v="08:10"/>
    <x v="4"/>
    <s v="Cola 2L"/>
    <s v="Drinks"/>
    <n v="1"/>
    <n v="1.75"/>
    <s v="No"/>
    <n v="10"/>
    <n v="0"/>
    <n v="6"/>
    <n v="1.8"/>
    <n v="1.75"/>
  </r>
  <r>
    <x v="220"/>
    <x v="40"/>
    <s v="16:45"/>
    <x v="6"/>
    <s v="Cola 2L"/>
    <s v="Drinks"/>
    <n v="3"/>
    <n v="1.49"/>
    <s v="Yes"/>
    <n v="26"/>
    <n v="0"/>
    <n v="6"/>
    <n v="1.7"/>
    <n v="4.47"/>
  </r>
  <r>
    <x v="221"/>
    <x v="77"/>
    <s v="13:55"/>
    <x v="3"/>
    <s v="Bin Bags"/>
    <s v="Household"/>
    <n v="1"/>
    <n v="2.69"/>
    <s v="No"/>
    <n v="36"/>
    <n v="0"/>
    <n v="9"/>
    <n v="4.3"/>
    <n v="2.69"/>
  </r>
  <r>
    <x v="222"/>
    <x v="2"/>
    <s v="19:30"/>
    <x v="2"/>
    <s v="Milk 2L"/>
    <s v="Dairy"/>
    <n v="2"/>
    <n v="1.32"/>
    <s v="Yes"/>
    <n v="60"/>
    <n v="0"/>
    <n v="7"/>
    <n v="3.5"/>
    <n v="2.64"/>
  </r>
  <r>
    <x v="223"/>
    <x v="53"/>
    <s v="12:25"/>
    <x v="4"/>
    <s v="Frozen Chips"/>
    <s v="Frozen"/>
    <n v="4"/>
    <n v="2.25"/>
    <s v="No"/>
    <n v="33"/>
    <n v="0"/>
    <n v="7"/>
    <n v="4.4000000000000004"/>
    <n v="9"/>
  </r>
  <r>
    <x v="224"/>
    <x v="43"/>
    <s v="14:55"/>
    <x v="6"/>
    <s v="Frozen Pizza"/>
    <s v="Frozen"/>
    <n v="1"/>
    <n v="3.49"/>
    <s v="No"/>
    <n v="19"/>
    <n v="0"/>
    <n v="4"/>
    <n v="4.0999999999999996"/>
    <n v="3.49"/>
  </r>
  <r>
    <x v="225"/>
    <x v="39"/>
    <s v="12:05"/>
    <x v="3"/>
    <s v="Apples"/>
    <s v="Fresh Produce"/>
    <n v="3"/>
    <n v="1.79"/>
    <s v="No"/>
    <n v="59"/>
    <n v="0"/>
    <n v="9"/>
    <n v="6"/>
    <n v="5.37"/>
  </r>
  <r>
    <x v="226"/>
    <x v="78"/>
    <s v="18:55"/>
    <x v="0"/>
    <s v="Tomatoes"/>
    <s v="Fresh Produce"/>
    <n v="3"/>
    <n v="1.27"/>
    <s v="Yes"/>
    <n v="6"/>
    <n v="0"/>
    <n v="8"/>
    <n v="5.2"/>
    <n v="3.81"/>
  </r>
  <r>
    <x v="227"/>
    <x v="79"/>
    <s v="16:15"/>
    <x v="1"/>
    <s v="Milk 2L"/>
    <s v="Dairy"/>
    <n v="1"/>
    <n v="1.32"/>
    <s v="Yes"/>
    <n v="52"/>
    <n v="0"/>
    <n v="6"/>
    <n v="1.3"/>
    <n v="1.32"/>
  </r>
  <r>
    <x v="228"/>
    <x v="21"/>
    <s v="16:30"/>
    <x v="5"/>
    <s v="Apples"/>
    <s v="Fresh Produce"/>
    <n v="2"/>
    <n v="1.79"/>
    <s v="No"/>
    <n v="21"/>
    <n v="2"/>
    <n v="5"/>
    <n v="3.4"/>
    <n v="3.58"/>
  </r>
  <r>
    <x v="229"/>
    <x v="6"/>
    <s v="15:05"/>
    <x v="3"/>
    <s v="Tomatoes"/>
    <s v="Fresh Produce"/>
    <n v="1"/>
    <n v="1.27"/>
    <s v="Yes"/>
    <n v="6"/>
    <n v="0"/>
    <n v="4"/>
    <n v="4.2"/>
    <n v="1.27"/>
  </r>
  <r>
    <x v="230"/>
    <x v="71"/>
    <s v="12:30"/>
    <x v="6"/>
    <s v="Orange Juice"/>
    <s v="Drinks"/>
    <n v="1"/>
    <n v="1.89"/>
    <s v="No"/>
    <n v="50"/>
    <n v="0"/>
    <n v="9"/>
    <n v="4.0999999999999996"/>
    <n v="1.89"/>
  </r>
  <r>
    <x v="231"/>
    <x v="45"/>
    <s v="10:05"/>
    <x v="1"/>
    <s v="Greek Yogurt"/>
    <s v="Dairy"/>
    <n v="1"/>
    <n v="1.85"/>
    <s v="No"/>
    <n v="34"/>
    <n v="0"/>
    <n v="4"/>
    <n v="3.5"/>
    <n v="1.85"/>
  </r>
  <r>
    <x v="232"/>
    <x v="7"/>
    <s v="21:30"/>
    <x v="1"/>
    <s v="Orange Juice"/>
    <s v="Drinks"/>
    <n v="1"/>
    <n v="1.89"/>
    <s v="No"/>
    <n v="40"/>
    <n v="0"/>
    <n v="7"/>
    <n v="1"/>
    <n v="1.89"/>
  </r>
  <r>
    <x v="233"/>
    <x v="21"/>
    <s v="16:30"/>
    <x v="5"/>
    <s v="Washing Liquid"/>
    <s v="Household"/>
    <n v="2"/>
    <n v="3.99"/>
    <s v="No"/>
    <n v="14"/>
    <n v="0"/>
    <n v="7"/>
    <n v="1"/>
    <n v="7.98"/>
  </r>
  <r>
    <x v="234"/>
    <x v="0"/>
    <s v="19:30"/>
    <x v="0"/>
    <s v="Tomatoes"/>
    <s v="Fresh Produce"/>
    <n v="1"/>
    <n v="1.49"/>
    <s v="No"/>
    <n v="46"/>
    <n v="0"/>
    <n v="7"/>
    <n v="4.5999999999999996"/>
    <n v="1.49"/>
  </r>
  <r>
    <x v="235"/>
    <x v="30"/>
    <s v="08:20"/>
    <x v="0"/>
    <s v="Apples"/>
    <s v="Fresh Produce"/>
    <n v="1"/>
    <n v="1.52"/>
    <s v="Yes"/>
    <n v="53"/>
    <n v="1"/>
    <n v="4"/>
    <n v="4.4000000000000004"/>
    <n v="1.52"/>
  </r>
  <r>
    <x v="236"/>
    <x v="22"/>
    <s v="11:05"/>
    <x v="2"/>
    <s v="Milk 2L"/>
    <s v="Dairy"/>
    <n v="1"/>
    <n v="1.55"/>
    <s v="No"/>
    <n v="27"/>
    <n v="0"/>
    <n v="4"/>
    <n v="2.8"/>
    <n v="1.55"/>
  </r>
  <r>
    <x v="237"/>
    <x v="9"/>
    <s v="14:20"/>
    <x v="0"/>
    <s v="Croissants"/>
    <s v="Bakery"/>
    <n v="2"/>
    <n v="1.99"/>
    <s v="No"/>
    <n v="31"/>
    <n v="0"/>
    <n v="4"/>
    <n v="2.4"/>
    <n v="3.98"/>
  </r>
  <r>
    <x v="238"/>
    <x v="27"/>
    <s v="14:50"/>
    <x v="3"/>
    <s v="Ice Cream"/>
    <s v="Frozen"/>
    <n v="1"/>
    <n v="3.36"/>
    <s v="Yes"/>
    <n v="3"/>
    <n v="0"/>
    <n v="6"/>
    <n v="1.9"/>
    <n v="3.36"/>
  </r>
  <r>
    <x v="239"/>
    <x v="34"/>
    <s v="17:30"/>
    <x v="6"/>
    <s v="Apples"/>
    <s v="Fresh Produce"/>
    <n v="2"/>
    <n v="1.79"/>
    <s v="No"/>
    <n v="45"/>
    <n v="0"/>
    <n v="9"/>
    <n v="4.3"/>
    <n v="3.58"/>
  </r>
  <r>
    <x v="240"/>
    <x v="29"/>
    <s v="13:20"/>
    <x v="5"/>
    <s v="Bottled Water 6pk"/>
    <s v="Drinks"/>
    <n v="1"/>
    <n v="2.4900000000000002"/>
    <s v="No"/>
    <n v="30"/>
    <n v="0"/>
    <n v="6"/>
    <n v="3.7"/>
    <n v="2.4900000000000002"/>
  </r>
  <r>
    <x v="241"/>
    <x v="53"/>
    <s v="21:50"/>
    <x v="4"/>
    <s v="Frozen Pizza"/>
    <s v="Frozen"/>
    <n v="1"/>
    <n v="3.49"/>
    <s v="No"/>
    <n v="37"/>
    <n v="0"/>
    <n v="7"/>
    <n v="1.1000000000000001"/>
    <n v="3.49"/>
  </r>
  <r>
    <x v="242"/>
    <x v="79"/>
    <s v="16:00"/>
    <x v="1"/>
    <s v="Chocolate Cookies"/>
    <s v="Bakery"/>
    <n v="1"/>
    <n v="1.44"/>
    <s v="Yes"/>
    <n v="36"/>
    <n v="0"/>
    <n v="4"/>
    <n v="3.5"/>
    <n v="1.44"/>
  </r>
  <r>
    <x v="243"/>
    <x v="3"/>
    <s v="19:05"/>
    <x v="3"/>
    <s v="Bananas"/>
    <s v="Fresh Produce"/>
    <n v="2"/>
    <n v="0.95"/>
    <s v="No"/>
    <n v="12"/>
    <n v="2"/>
    <n v="7"/>
    <n v="3.7"/>
    <n v="1.9"/>
  </r>
  <r>
    <x v="244"/>
    <x v="57"/>
    <s v="12:05"/>
    <x v="4"/>
    <s v="Ice Cream"/>
    <s v="Frozen"/>
    <n v="2"/>
    <n v="3.36"/>
    <s v="Yes"/>
    <n v="22"/>
    <n v="0"/>
    <n v="8"/>
    <n v="3.8"/>
    <n v="6.72"/>
  </r>
  <r>
    <x v="245"/>
    <x v="41"/>
    <s v="14:20"/>
    <x v="5"/>
    <s v="Orange Juice"/>
    <s v="Drinks"/>
    <n v="3"/>
    <n v="1.89"/>
    <s v="No"/>
    <n v="27"/>
    <n v="0"/>
    <n v="6"/>
    <n v="2.7"/>
    <n v="5.67"/>
  </r>
  <r>
    <x v="246"/>
    <x v="42"/>
    <s v="14:30"/>
    <x v="5"/>
    <s v="Chocolate Cookies"/>
    <s v="Bakery"/>
    <n v="1"/>
    <n v="1.44"/>
    <s v="Yes"/>
    <n v="10"/>
    <n v="0"/>
    <n v="6"/>
    <n v="2.4"/>
    <n v="1.44"/>
  </r>
  <r>
    <x v="247"/>
    <x v="14"/>
    <s v="10:55"/>
    <x v="3"/>
    <s v="Bin Bags"/>
    <s v="Household"/>
    <n v="2"/>
    <n v="2.69"/>
    <s v="No"/>
    <n v="8"/>
    <n v="0"/>
    <n v="7"/>
    <n v="1"/>
    <n v="5.38"/>
  </r>
  <r>
    <x v="248"/>
    <x v="80"/>
    <s v="14:25"/>
    <x v="0"/>
    <s v="Apples"/>
    <s v="Fresh Produce"/>
    <n v="1"/>
    <n v="1.52"/>
    <s v="Yes"/>
    <n v="14"/>
    <n v="0"/>
    <n v="6"/>
    <n v="3"/>
    <n v="1.52"/>
  </r>
  <r>
    <x v="249"/>
    <x v="22"/>
    <s v="16:30"/>
    <x v="2"/>
    <s v="Chocolate Cookies"/>
    <s v="Bakery"/>
    <n v="1"/>
    <n v="1.69"/>
    <s v="No"/>
    <n v="14"/>
    <n v="3"/>
    <n v="6"/>
    <n v="2.4"/>
    <n v="1.69"/>
  </r>
  <r>
    <x v="250"/>
    <x v="25"/>
    <s v="16:00"/>
    <x v="5"/>
    <s v="Orange Juice"/>
    <s v="Drinks"/>
    <n v="3"/>
    <n v="1.89"/>
    <s v="No"/>
    <n v="18"/>
    <n v="0"/>
    <n v="7"/>
    <n v="1.3"/>
    <n v="5.67"/>
  </r>
  <r>
    <x v="251"/>
    <x v="13"/>
    <s v="12:40"/>
    <x v="6"/>
    <s v="Tomatoes"/>
    <s v="Fresh Produce"/>
    <n v="1"/>
    <n v="1.49"/>
    <s v="No"/>
    <n v="13"/>
    <n v="0"/>
    <n v="7"/>
    <n v="3.6"/>
    <n v="1.49"/>
  </r>
  <r>
    <x v="252"/>
    <x v="37"/>
    <s v="16:55"/>
    <x v="4"/>
    <s v="Orange Juice"/>
    <s v="Drinks"/>
    <n v="1"/>
    <n v="1.61"/>
    <s v="Yes"/>
    <n v="13"/>
    <n v="0"/>
    <n v="4"/>
    <n v="4"/>
    <n v="1.61"/>
  </r>
  <r>
    <x v="253"/>
    <x v="18"/>
    <s v="17:55"/>
    <x v="1"/>
    <s v="Tomatoes"/>
    <s v="Fresh Produce"/>
    <n v="1"/>
    <n v="1.49"/>
    <s v="No"/>
    <n v="8"/>
    <n v="0"/>
    <n v="8"/>
    <n v="6.1"/>
    <n v="1.49"/>
  </r>
  <r>
    <x v="254"/>
    <x v="73"/>
    <s v="18:10"/>
    <x v="5"/>
    <s v="Bottled Water 6pk"/>
    <s v="Drinks"/>
    <n v="2"/>
    <n v="2.12"/>
    <s v="Yes"/>
    <n v="56"/>
    <n v="0"/>
    <n v="6"/>
    <n v="4.0999999999999996"/>
    <n v="4.24"/>
  </r>
  <r>
    <x v="255"/>
    <x v="81"/>
    <s v="19:40"/>
    <x v="1"/>
    <s v="Croissants"/>
    <s v="Bakery"/>
    <n v="1"/>
    <n v="1.99"/>
    <s v="No"/>
    <n v="11"/>
    <n v="0"/>
    <n v="7"/>
    <n v="4.9000000000000004"/>
    <n v="1.99"/>
  </r>
  <r>
    <x v="256"/>
    <x v="82"/>
    <s v="11:00"/>
    <x v="0"/>
    <s v="Frozen Chips"/>
    <s v="Frozen"/>
    <n v="1"/>
    <n v="2.25"/>
    <s v="No"/>
    <n v="7"/>
    <n v="0"/>
    <n v="4"/>
    <n v="3.6"/>
    <n v="2.25"/>
  </r>
  <r>
    <x v="257"/>
    <x v="23"/>
    <s v="12:45"/>
    <x v="2"/>
    <s v="Croissants"/>
    <s v="Bakery"/>
    <n v="1"/>
    <n v="1.99"/>
    <s v="No"/>
    <n v="46"/>
    <n v="0"/>
    <n v="8"/>
    <n v="4.5999999999999996"/>
    <n v="1.99"/>
  </r>
  <r>
    <x v="258"/>
    <x v="19"/>
    <s v="14:55"/>
    <x v="6"/>
    <s v="Tomatoes"/>
    <s v="Fresh Produce"/>
    <n v="2"/>
    <n v="1.49"/>
    <s v="No"/>
    <n v="12"/>
    <n v="0"/>
    <n v="5"/>
    <n v="3.6"/>
    <n v="2.98"/>
  </r>
  <r>
    <x v="259"/>
    <x v="73"/>
    <s v="17:30"/>
    <x v="5"/>
    <s v="Frozen Pizza"/>
    <s v="Frozen"/>
    <n v="2"/>
    <n v="3.49"/>
    <s v="No"/>
    <n v="34"/>
    <n v="0"/>
    <n v="9"/>
    <n v="5"/>
    <n v="6.98"/>
  </r>
  <r>
    <x v="260"/>
    <x v="31"/>
    <s v="14:15"/>
    <x v="4"/>
    <s v="Apples"/>
    <s v="Fresh Produce"/>
    <n v="1"/>
    <n v="1.79"/>
    <s v="No"/>
    <n v="35"/>
    <n v="0"/>
    <n v="4"/>
    <n v="4"/>
    <n v="1.79"/>
  </r>
  <r>
    <x v="261"/>
    <x v="59"/>
    <s v="16:05"/>
    <x v="6"/>
    <s v="Milk 2L"/>
    <s v="Dairy"/>
    <n v="2"/>
    <n v="1.55"/>
    <s v="No"/>
    <n v="38"/>
    <n v="0"/>
    <n v="7"/>
    <n v="1.6"/>
    <n v="3.1"/>
  </r>
  <r>
    <x v="262"/>
    <x v="55"/>
    <s v="18:15"/>
    <x v="3"/>
    <s v="Orange Juice"/>
    <s v="Drinks"/>
    <n v="2"/>
    <n v="1.61"/>
    <s v="Yes"/>
    <n v="29"/>
    <n v="0"/>
    <n v="7"/>
    <n v="6.4"/>
    <n v="3.22"/>
  </r>
  <r>
    <x v="263"/>
    <x v="83"/>
    <s v="20:30"/>
    <x v="6"/>
    <s v="Frozen Pizza"/>
    <s v="Frozen"/>
    <n v="3"/>
    <n v="3.49"/>
    <s v="No"/>
    <n v="16"/>
    <n v="0"/>
    <n v="5"/>
    <n v="3"/>
    <n v="10.47"/>
  </r>
  <r>
    <x v="264"/>
    <x v="30"/>
    <s v="14:10"/>
    <x v="0"/>
    <s v="Frozen Pizza"/>
    <s v="Frozen"/>
    <n v="1"/>
    <n v="2.97"/>
    <s v="Yes"/>
    <n v="46"/>
    <n v="0"/>
    <n v="4"/>
    <n v="3.2"/>
    <n v="2.97"/>
  </r>
  <r>
    <x v="265"/>
    <x v="62"/>
    <s v="14:15"/>
    <x v="2"/>
    <s v="Croissants"/>
    <s v="Bakery"/>
    <n v="1"/>
    <n v="1.99"/>
    <s v="No"/>
    <n v="54"/>
    <n v="0"/>
    <n v="6"/>
    <n v="2.2000000000000002"/>
    <n v="1.99"/>
  </r>
  <r>
    <x v="266"/>
    <x v="5"/>
    <s v="16:10"/>
    <x v="4"/>
    <s v="Kitchen Roll"/>
    <s v="Household"/>
    <n v="2"/>
    <n v="2.8"/>
    <s v="Yes"/>
    <n v="11"/>
    <n v="0"/>
    <n v="6"/>
    <n v="2.1"/>
    <n v="5.6"/>
  </r>
  <r>
    <x v="267"/>
    <x v="22"/>
    <s v="15:40"/>
    <x v="2"/>
    <s v="Frozen Pizza"/>
    <s v="Frozen"/>
    <n v="4"/>
    <n v="3.49"/>
    <s v="No"/>
    <n v="49"/>
    <n v="0"/>
    <n v="6"/>
    <n v="2.2999999999999998"/>
    <n v="13.96"/>
  </r>
  <r>
    <x v="268"/>
    <x v="65"/>
    <s v="20:30"/>
    <x v="3"/>
    <s v="Frozen Pizza"/>
    <s v="Frozen"/>
    <n v="3"/>
    <n v="3.49"/>
    <s v="No"/>
    <n v="51"/>
    <n v="0"/>
    <n v="7"/>
    <n v="2.9"/>
    <n v="10.47"/>
  </r>
  <r>
    <x v="269"/>
    <x v="52"/>
    <s v="20:05"/>
    <x v="5"/>
    <s v="Greek Yogurt"/>
    <s v="Dairy"/>
    <n v="2"/>
    <n v="1.85"/>
    <s v="No"/>
    <n v="47"/>
    <n v="0"/>
    <n v="7"/>
    <n v="1.4"/>
    <n v="3.7"/>
  </r>
  <r>
    <x v="270"/>
    <x v="21"/>
    <s v="12:30"/>
    <x v="5"/>
    <s v="Orange Juice"/>
    <s v="Drinks"/>
    <n v="2"/>
    <n v="1.89"/>
    <s v="No"/>
    <n v="5"/>
    <n v="0"/>
    <n v="7"/>
    <n v="6"/>
    <n v="3.78"/>
  </r>
  <r>
    <x v="271"/>
    <x v="70"/>
    <s v="17:20"/>
    <x v="4"/>
    <s v="Bottled Water 6pk"/>
    <s v="Drinks"/>
    <n v="2"/>
    <n v="2.4900000000000002"/>
    <s v="No"/>
    <n v="5"/>
    <n v="0"/>
    <n v="8"/>
    <n v="4.5999999999999996"/>
    <n v="4.9800000000000004"/>
  </r>
  <r>
    <x v="272"/>
    <x v="36"/>
    <s v="15:15"/>
    <x v="2"/>
    <s v="Washing Liquid"/>
    <s v="Household"/>
    <n v="3"/>
    <n v="3.99"/>
    <s v="No"/>
    <n v="42"/>
    <n v="0"/>
    <n v="4"/>
    <n v="4.0999999999999996"/>
    <n v="11.97"/>
  </r>
  <r>
    <x v="273"/>
    <x v="47"/>
    <s v="11:20"/>
    <x v="4"/>
    <s v="Bananas"/>
    <s v="Fresh Produce"/>
    <n v="2"/>
    <n v="0.95"/>
    <s v="No"/>
    <n v="41"/>
    <n v="1"/>
    <n v="4"/>
    <n v="4.3"/>
    <n v="1.9"/>
  </r>
  <r>
    <x v="274"/>
    <x v="30"/>
    <s v="12:05"/>
    <x v="0"/>
    <s v="Frozen Chips"/>
    <s v="Frozen"/>
    <n v="1"/>
    <n v="2.25"/>
    <s v="No"/>
    <n v="53"/>
    <n v="0"/>
    <n v="6"/>
    <n v="6.3"/>
    <n v="2.25"/>
  </r>
  <r>
    <x v="275"/>
    <x v="1"/>
    <s v="19:00"/>
    <x v="1"/>
    <s v="Bottled Water 6pk"/>
    <s v="Drinks"/>
    <n v="1"/>
    <n v="2.4900000000000002"/>
    <s v="No"/>
    <n v="39"/>
    <n v="0"/>
    <n v="6"/>
    <n v="6.5"/>
    <n v="2.4900000000000002"/>
  </r>
  <r>
    <x v="276"/>
    <x v="5"/>
    <s v="14:40"/>
    <x v="4"/>
    <s v="Washing Liquid"/>
    <s v="Household"/>
    <n v="3"/>
    <n v="3.99"/>
    <s v="No"/>
    <n v="58"/>
    <n v="0"/>
    <n v="7"/>
    <n v="2.2000000000000002"/>
    <n v="11.97"/>
  </r>
  <r>
    <x v="277"/>
    <x v="84"/>
    <s v="16:20"/>
    <x v="1"/>
    <s v="Chocolate Cookies"/>
    <s v="Bakery"/>
    <n v="3"/>
    <n v="1.69"/>
    <s v="No"/>
    <n v="58"/>
    <n v="2"/>
    <n v="5"/>
    <n v="4.7"/>
    <n v="5.07"/>
  </r>
  <r>
    <x v="278"/>
    <x v="16"/>
    <s v="12:15"/>
    <x v="1"/>
    <s v="Croissants"/>
    <s v="Bakery"/>
    <n v="1"/>
    <n v="1.99"/>
    <s v="No"/>
    <n v="16"/>
    <n v="0"/>
    <n v="6"/>
    <n v="5.8"/>
    <n v="1.99"/>
  </r>
  <r>
    <x v="279"/>
    <x v="70"/>
    <s v="14:15"/>
    <x v="4"/>
    <s v="Chocolate Cookies"/>
    <s v="Bakery"/>
    <n v="2"/>
    <n v="1.69"/>
    <s v="No"/>
    <n v="50"/>
    <n v="2"/>
    <n v="6"/>
    <n v="1.3"/>
    <n v="3.38"/>
  </r>
  <r>
    <x v="280"/>
    <x v="85"/>
    <s v="08:30"/>
    <x v="0"/>
    <s v="Ice Cream"/>
    <s v="Frozen"/>
    <n v="1"/>
    <n v="3.36"/>
    <s v="Yes"/>
    <n v="9"/>
    <n v="0"/>
    <n v="6"/>
    <n v="2"/>
    <n v="3.36"/>
  </r>
  <r>
    <x v="281"/>
    <x v="8"/>
    <s v="14:05"/>
    <x v="0"/>
    <s v="Cola 2L"/>
    <s v="Drinks"/>
    <n v="1"/>
    <n v="1.75"/>
    <s v="No"/>
    <n v="43"/>
    <n v="0"/>
    <n v="4"/>
    <n v="4.0999999999999996"/>
    <n v="1.75"/>
  </r>
  <r>
    <x v="282"/>
    <x v="19"/>
    <s v="14:15"/>
    <x v="6"/>
    <s v="Bin Bags"/>
    <s v="Household"/>
    <n v="1"/>
    <n v="2.69"/>
    <s v="No"/>
    <n v="24"/>
    <n v="0"/>
    <n v="6"/>
    <n v="1.4"/>
    <n v="2.69"/>
  </r>
  <r>
    <x v="283"/>
    <x v="2"/>
    <s v="13:05"/>
    <x v="2"/>
    <s v="Apples"/>
    <s v="Fresh Produce"/>
    <n v="1"/>
    <n v="1.52"/>
    <s v="Yes"/>
    <n v="10"/>
    <n v="3"/>
    <n v="8"/>
    <n v="3"/>
    <n v="1.52"/>
  </r>
  <r>
    <x v="284"/>
    <x v="17"/>
    <s v="18:35"/>
    <x v="5"/>
    <s v="Milk 2L"/>
    <s v="Dairy"/>
    <n v="1"/>
    <n v="1.32"/>
    <s v="Yes"/>
    <n v="36"/>
    <n v="0"/>
    <n v="7"/>
    <n v="4.5999999999999996"/>
    <n v="1.32"/>
  </r>
  <r>
    <x v="285"/>
    <x v="14"/>
    <s v="18:55"/>
    <x v="3"/>
    <s v="Apples"/>
    <s v="Fresh Produce"/>
    <n v="2"/>
    <n v="1.52"/>
    <s v="Yes"/>
    <n v="28"/>
    <n v="0"/>
    <n v="9"/>
    <n v="5.5"/>
    <n v="3.04"/>
  </r>
  <r>
    <x v="286"/>
    <x v="16"/>
    <s v="16:10"/>
    <x v="1"/>
    <s v="Orange Juice"/>
    <s v="Drinks"/>
    <n v="3"/>
    <n v="1.89"/>
    <s v="No"/>
    <n v="50"/>
    <n v="0"/>
    <n v="4"/>
    <n v="2"/>
    <n v="5.67"/>
  </r>
  <r>
    <x v="287"/>
    <x v="37"/>
    <s v="14:05"/>
    <x v="4"/>
    <s v="Croissants"/>
    <s v="Bakery"/>
    <n v="1"/>
    <n v="1.99"/>
    <s v="No"/>
    <n v="28"/>
    <n v="2"/>
    <n v="4"/>
    <n v="5"/>
    <n v="1.99"/>
  </r>
  <r>
    <x v="288"/>
    <x v="74"/>
    <s v="12:05"/>
    <x v="0"/>
    <s v="Croissants"/>
    <s v="Bakery"/>
    <n v="2"/>
    <n v="1.99"/>
    <s v="No"/>
    <n v="38"/>
    <n v="0"/>
    <n v="6"/>
    <n v="4.5"/>
    <n v="3.98"/>
  </r>
  <r>
    <x v="289"/>
    <x v="59"/>
    <s v="14:50"/>
    <x v="6"/>
    <s v="White Bread"/>
    <s v="Bakery"/>
    <n v="2"/>
    <n v="1.39"/>
    <s v="No"/>
    <n v="8"/>
    <n v="1"/>
    <n v="7"/>
    <n v="1.5"/>
    <n v="2.78"/>
  </r>
  <r>
    <x v="290"/>
    <x v="59"/>
    <s v="12:50"/>
    <x v="6"/>
    <s v="Orange Juice"/>
    <s v="Drinks"/>
    <n v="2"/>
    <n v="1.61"/>
    <s v="Yes"/>
    <n v="49"/>
    <n v="0"/>
    <n v="9"/>
    <n v="5"/>
    <n v="3.22"/>
  </r>
  <r>
    <x v="291"/>
    <x v="12"/>
    <s v="13:10"/>
    <x v="5"/>
    <s v="Cola 2L"/>
    <s v="Drinks"/>
    <n v="3"/>
    <n v="1.75"/>
    <s v="No"/>
    <n v="30"/>
    <n v="1"/>
    <n v="8"/>
    <n v="5.4"/>
    <n v="5.25"/>
  </r>
  <r>
    <x v="292"/>
    <x v="81"/>
    <s v="17:20"/>
    <x v="1"/>
    <s v="Cheddar Cheese"/>
    <s v="Dairy"/>
    <n v="1"/>
    <n v="2.79"/>
    <s v="No"/>
    <n v="8"/>
    <n v="0"/>
    <n v="7"/>
    <n v="5.7"/>
    <n v="2.79"/>
  </r>
  <r>
    <x v="293"/>
    <x v="14"/>
    <s v="13:00"/>
    <x v="3"/>
    <s v="Bottled Water 6pk"/>
    <s v="Drinks"/>
    <n v="1"/>
    <n v="2.12"/>
    <s v="Yes"/>
    <n v="50"/>
    <n v="0"/>
    <n v="7"/>
    <n v="4.8"/>
    <n v="2.12"/>
  </r>
  <r>
    <x v="294"/>
    <x v="21"/>
    <s v="10:55"/>
    <x v="5"/>
    <s v="Apples"/>
    <s v="Fresh Produce"/>
    <n v="1"/>
    <n v="1.79"/>
    <s v="No"/>
    <n v="18"/>
    <n v="0"/>
    <n v="5"/>
    <n v="2.8"/>
    <n v="1.79"/>
  </r>
  <r>
    <x v="295"/>
    <x v="86"/>
    <s v="16:10"/>
    <x v="6"/>
    <s v="Cola 2L"/>
    <s v="Drinks"/>
    <n v="2"/>
    <n v="1.75"/>
    <s v="No"/>
    <n v="45"/>
    <n v="0"/>
    <n v="5"/>
    <n v="3.3"/>
    <n v="3.5"/>
  </r>
  <r>
    <x v="296"/>
    <x v="79"/>
    <s v="19:30"/>
    <x v="1"/>
    <s v="Bottled Water 6pk"/>
    <s v="Drinks"/>
    <n v="2"/>
    <n v="2.4900000000000002"/>
    <s v="No"/>
    <n v="22"/>
    <n v="0"/>
    <n v="7"/>
    <n v="5.3"/>
    <n v="4.9800000000000004"/>
  </r>
  <r>
    <x v="297"/>
    <x v="24"/>
    <s v="17:55"/>
    <x v="6"/>
    <s v="Orange Juice"/>
    <s v="Drinks"/>
    <n v="2"/>
    <n v="1.89"/>
    <s v="No"/>
    <n v="57"/>
    <n v="0"/>
    <n v="9"/>
    <n v="2.9"/>
    <n v="3.78"/>
  </r>
  <r>
    <x v="298"/>
    <x v="87"/>
    <s v="19:50"/>
    <x v="0"/>
    <s v="Bottled Water 6pk"/>
    <s v="Drinks"/>
    <n v="1"/>
    <n v="2.4900000000000002"/>
    <s v="No"/>
    <n v="35"/>
    <n v="0"/>
    <n v="9"/>
    <n v="3.4"/>
    <n v="2.4900000000000002"/>
  </r>
  <r>
    <x v="299"/>
    <x v="43"/>
    <s v="18:45"/>
    <x v="6"/>
    <s v="Frozen Chips"/>
    <s v="Frozen"/>
    <n v="1"/>
    <n v="2.25"/>
    <s v="No"/>
    <n v="39"/>
    <n v="0"/>
    <n v="7"/>
    <n v="4.9000000000000004"/>
    <n v="2.25"/>
  </r>
  <r>
    <x v="300"/>
    <x v="18"/>
    <s v="18:30"/>
    <x v="1"/>
    <s v="Greek Yogurt"/>
    <s v="Dairy"/>
    <n v="1"/>
    <n v="1.85"/>
    <s v="No"/>
    <n v="58"/>
    <n v="0"/>
    <n v="7"/>
    <n v="6.5"/>
    <n v="1.85"/>
  </r>
  <r>
    <x v="301"/>
    <x v="61"/>
    <s v="20:50"/>
    <x v="2"/>
    <s v="Greek Yogurt"/>
    <s v="Dairy"/>
    <n v="1"/>
    <n v="1.57"/>
    <s v="Yes"/>
    <n v="55"/>
    <n v="0"/>
    <n v="6"/>
    <n v="1.4"/>
    <n v="1.57"/>
  </r>
  <r>
    <x v="302"/>
    <x v="67"/>
    <s v="14:05"/>
    <x v="2"/>
    <s v="Milk 2L"/>
    <s v="Dairy"/>
    <n v="2"/>
    <n v="1.55"/>
    <s v="No"/>
    <n v="35"/>
    <n v="0"/>
    <n v="5"/>
    <n v="4.4000000000000004"/>
    <n v="3.1"/>
  </r>
  <r>
    <x v="303"/>
    <x v="5"/>
    <s v="12:00"/>
    <x v="4"/>
    <s v="Apples"/>
    <s v="Fresh Produce"/>
    <n v="2"/>
    <n v="1.52"/>
    <s v="Yes"/>
    <n v="36"/>
    <n v="0"/>
    <n v="8"/>
    <n v="5.5"/>
    <n v="3.04"/>
  </r>
  <r>
    <x v="304"/>
    <x v="73"/>
    <s v="18:50"/>
    <x v="5"/>
    <s v="Cola 2L"/>
    <s v="Drinks"/>
    <n v="1"/>
    <n v="1.75"/>
    <s v="No"/>
    <n v="41"/>
    <n v="0"/>
    <n v="6"/>
    <n v="5.0999999999999996"/>
    <n v="1.75"/>
  </r>
  <r>
    <x v="305"/>
    <x v="29"/>
    <s v="16:55"/>
    <x v="5"/>
    <s v="Bin Bags"/>
    <s v="Household"/>
    <n v="1"/>
    <n v="2.29"/>
    <s v="Yes"/>
    <n v="31"/>
    <n v="0"/>
    <n v="5"/>
    <n v="4"/>
    <n v="2.29"/>
  </r>
  <r>
    <x v="306"/>
    <x v="69"/>
    <s v="21:45"/>
    <x v="2"/>
    <s v="Bottled Water 6pk"/>
    <s v="Drinks"/>
    <n v="1"/>
    <n v="2.4900000000000002"/>
    <s v="No"/>
    <n v="23"/>
    <n v="0"/>
    <n v="6"/>
    <n v="1.4"/>
    <n v="2.4900000000000002"/>
  </r>
  <r>
    <x v="307"/>
    <x v="83"/>
    <s v="13:55"/>
    <x v="6"/>
    <s v="Frozen Pizza"/>
    <s v="Frozen"/>
    <n v="3"/>
    <n v="2.97"/>
    <s v="Yes"/>
    <n v="5"/>
    <n v="0"/>
    <n v="7"/>
    <n v="5.7"/>
    <n v="8.91"/>
  </r>
  <r>
    <x v="308"/>
    <x v="72"/>
    <s v="12:05"/>
    <x v="3"/>
    <s v="White Bread"/>
    <s v="Bakery"/>
    <n v="2"/>
    <n v="1.39"/>
    <s v="No"/>
    <n v="18"/>
    <n v="1"/>
    <n v="9"/>
    <n v="5.0999999999999996"/>
    <n v="2.78"/>
  </r>
  <r>
    <x v="309"/>
    <x v="52"/>
    <s v="11:45"/>
    <x v="5"/>
    <s v="Bottled Water 6pk"/>
    <s v="Drinks"/>
    <n v="1"/>
    <n v="2.4900000000000002"/>
    <s v="No"/>
    <n v="41"/>
    <n v="0"/>
    <n v="6"/>
    <n v="2.5"/>
    <n v="2.4900000000000002"/>
  </r>
  <r>
    <x v="310"/>
    <x v="65"/>
    <s v="20:15"/>
    <x v="3"/>
    <s v="Frozen Pizza"/>
    <s v="Frozen"/>
    <n v="3"/>
    <n v="3.49"/>
    <s v="No"/>
    <n v="37"/>
    <n v="0"/>
    <n v="4"/>
    <n v="4"/>
    <n v="10.47"/>
  </r>
  <r>
    <x v="311"/>
    <x v="73"/>
    <s v="13:25"/>
    <x v="5"/>
    <s v="Kitchen Roll"/>
    <s v="Household"/>
    <n v="1"/>
    <n v="3.29"/>
    <s v="No"/>
    <n v="27"/>
    <n v="0"/>
    <n v="9"/>
    <n v="4.8"/>
    <n v="3.29"/>
  </r>
  <r>
    <x v="312"/>
    <x v="57"/>
    <s v="20:30"/>
    <x v="4"/>
    <s v="Bin Bags"/>
    <s v="Household"/>
    <n v="2"/>
    <n v="2.69"/>
    <s v="No"/>
    <n v="16"/>
    <n v="0"/>
    <n v="7"/>
    <n v="1.2"/>
    <n v="5.38"/>
  </r>
  <r>
    <x v="313"/>
    <x v="35"/>
    <s v="17:20"/>
    <x v="0"/>
    <s v="Ice Cream"/>
    <s v="Frozen"/>
    <n v="2"/>
    <n v="3.95"/>
    <s v="No"/>
    <n v="3"/>
    <n v="0"/>
    <n v="7"/>
    <n v="4"/>
    <n v="7.9"/>
  </r>
  <r>
    <x v="314"/>
    <x v="29"/>
    <s v="17:55"/>
    <x v="5"/>
    <s v="Tomatoes"/>
    <s v="Fresh Produce"/>
    <n v="1"/>
    <n v="1.49"/>
    <s v="No"/>
    <n v="59"/>
    <n v="1"/>
    <n v="6"/>
    <n v="5.0999999999999996"/>
    <n v="1.49"/>
  </r>
  <r>
    <x v="315"/>
    <x v="65"/>
    <s v="20:50"/>
    <x v="3"/>
    <s v="Kitchen Roll"/>
    <s v="Household"/>
    <n v="1"/>
    <n v="3.29"/>
    <s v="No"/>
    <n v="55"/>
    <n v="0"/>
    <n v="4"/>
    <n v="4"/>
    <n v="3.29"/>
  </r>
  <r>
    <x v="316"/>
    <x v="25"/>
    <s v="13:05"/>
    <x v="5"/>
    <s v="Chocolate Cookies"/>
    <s v="Bakery"/>
    <n v="1"/>
    <n v="1.44"/>
    <s v="Yes"/>
    <n v="36"/>
    <n v="0"/>
    <n v="7"/>
    <n v="6.6"/>
    <n v="1.44"/>
  </r>
  <r>
    <x v="317"/>
    <x v="63"/>
    <s v="13:40"/>
    <x v="6"/>
    <s v="White Bread"/>
    <s v="Bakery"/>
    <n v="1"/>
    <n v="1.39"/>
    <s v="No"/>
    <n v="24"/>
    <n v="0"/>
    <n v="8"/>
    <n v="5"/>
    <n v="1.39"/>
  </r>
  <r>
    <x v="318"/>
    <x v="3"/>
    <s v="17:45"/>
    <x v="3"/>
    <s v="Frozen Pizza"/>
    <s v="Frozen"/>
    <n v="3"/>
    <n v="3.49"/>
    <s v="No"/>
    <n v="32"/>
    <n v="0"/>
    <n v="7"/>
    <n v="3.4"/>
    <n v="10.47"/>
  </r>
  <r>
    <x v="319"/>
    <x v="26"/>
    <s v="10:50"/>
    <x v="1"/>
    <s v="Bin Bags"/>
    <s v="Household"/>
    <n v="1"/>
    <n v="2.69"/>
    <s v="No"/>
    <n v="51"/>
    <n v="0"/>
    <n v="7"/>
    <n v="1.2"/>
    <n v="2.69"/>
  </r>
  <r>
    <x v="320"/>
    <x v="20"/>
    <s v="13:35"/>
    <x v="5"/>
    <s v="Frozen Pizza"/>
    <s v="Frozen"/>
    <n v="1"/>
    <n v="3.49"/>
    <s v="No"/>
    <n v="53"/>
    <n v="0"/>
    <n v="6"/>
    <n v="3"/>
    <n v="3.49"/>
  </r>
  <r>
    <x v="321"/>
    <x v="53"/>
    <s v="19:15"/>
    <x v="4"/>
    <s v="Milk 2L"/>
    <s v="Dairy"/>
    <n v="1"/>
    <n v="1.55"/>
    <s v="No"/>
    <n v="29"/>
    <n v="0"/>
    <n v="9"/>
    <n v="6.2"/>
    <n v="1.55"/>
  </r>
  <r>
    <x v="322"/>
    <x v="51"/>
    <s v="19:05"/>
    <x v="5"/>
    <s v="Frozen Pizza"/>
    <s v="Frozen"/>
    <n v="2"/>
    <n v="3.49"/>
    <s v="No"/>
    <n v="43"/>
    <n v="1"/>
    <n v="7"/>
    <n v="4.5"/>
    <n v="6.98"/>
  </r>
  <r>
    <x v="323"/>
    <x v="23"/>
    <s v="20:40"/>
    <x v="2"/>
    <s v="Croissants"/>
    <s v="Bakery"/>
    <n v="2"/>
    <n v="1.69"/>
    <s v="Yes"/>
    <n v="21"/>
    <n v="1"/>
    <n v="7"/>
    <n v="2"/>
    <n v="3.38"/>
  </r>
  <r>
    <x v="324"/>
    <x v="11"/>
    <s v="14:35"/>
    <x v="1"/>
    <s v="Bin Bags"/>
    <s v="Household"/>
    <n v="1"/>
    <n v="2.69"/>
    <s v="No"/>
    <n v="3"/>
    <n v="0"/>
    <n v="5"/>
    <n v="3.2"/>
    <n v="2.69"/>
  </r>
  <r>
    <x v="325"/>
    <x v="66"/>
    <s v="11:15"/>
    <x v="2"/>
    <s v="Apples"/>
    <s v="Fresh Produce"/>
    <n v="2"/>
    <n v="1.79"/>
    <s v="No"/>
    <n v="24"/>
    <n v="1"/>
    <n v="5"/>
    <n v="3.2"/>
    <n v="3.58"/>
  </r>
  <r>
    <x v="326"/>
    <x v="21"/>
    <s v="19:00"/>
    <x v="5"/>
    <s v="Croissants"/>
    <s v="Bakery"/>
    <n v="2"/>
    <n v="1.99"/>
    <s v="No"/>
    <n v="43"/>
    <n v="0"/>
    <n v="9"/>
    <n v="6.1"/>
    <n v="3.98"/>
  </r>
  <r>
    <x v="327"/>
    <x v="77"/>
    <s v="19:15"/>
    <x v="3"/>
    <s v="Croissants"/>
    <s v="Bakery"/>
    <n v="1"/>
    <n v="1.69"/>
    <s v="Yes"/>
    <n v="44"/>
    <n v="0"/>
    <n v="7"/>
    <n v="6.7"/>
    <n v="1.69"/>
  </r>
  <r>
    <x v="328"/>
    <x v="78"/>
    <s v="19:20"/>
    <x v="0"/>
    <s v="Chocolate Cookies"/>
    <s v="Bakery"/>
    <n v="1"/>
    <n v="1.44"/>
    <s v="Yes"/>
    <n v="40"/>
    <n v="0"/>
    <n v="6"/>
    <n v="5.7"/>
    <n v="1.44"/>
  </r>
  <r>
    <x v="329"/>
    <x v="77"/>
    <s v="13:25"/>
    <x v="3"/>
    <s v="Milk 2L"/>
    <s v="Dairy"/>
    <n v="1"/>
    <n v="1.55"/>
    <s v="No"/>
    <n v="16"/>
    <n v="0"/>
    <n v="7"/>
    <n v="4.4000000000000004"/>
    <n v="1.55"/>
  </r>
  <r>
    <x v="330"/>
    <x v="81"/>
    <s v="07:00"/>
    <x v="1"/>
    <s v="Bin Bags"/>
    <s v="Household"/>
    <n v="2"/>
    <n v="2.29"/>
    <s v="Yes"/>
    <n v="51"/>
    <n v="0"/>
    <n v="4"/>
    <n v="4.0999999999999996"/>
    <n v="4.58"/>
  </r>
  <r>
    <x v="331"/>
    <x v="35"/>
    <s v="19:20"/>
    <x v="0"/>
    <s v="Frozen Pizza"/>
    <s v="Frozen"/>
    <n v="1"/>
    <n v="2.97"/>
    <s v="Yes"/>
    <n v="54"/>
    <n v="0"/>
    <n v="9"/>
    <n v="4.2"/>
    <n v="2.97"/>
  </r>
  <r>
    <x v="332"/>
    <x v="29"/>
    <s v="18:00"/>
    <x v="5"/>
    <s v="Tomatoes"/>
    <s v="Fresh Produce"/>
    <n v="1"/>
    <n v="1.49"/>
    <s v="No"/>
    <n v="10"/>
    <n v="0"/>
    <n v="8"/>
    <n v="3.9"/>
    <n v="1.49"/>
  </r>
  <r>
    <x v="333"/>
    <x v="69"/>
    <s v="17:10"/>
    <x v="2"/>
    <s v="Bananas"/>
    <s v="Fresh Produce"/>
    <n v="1"/>
    <n v="0.95"/>
    <s v="No"/>
    <n v="27"/>
    <n v="0"/>
    <n v="9"/>
    <n v="4.5"/>
    <n v="0.95"/>
  </r>
  <r>
    <x v="334"/>
    <x v="83"/>
    <s v="17:55"/>
    <x v="6"/>
    <s v="Frozen Chips"/>
    <s v="Frozen"/>
    <n v="4"/>
    <n v="2.25"/>
    <s v="No"/>
    <n v="48"/>
    <n v="0"/>
    <n v="9"/>
    <n v="5.0999999999999996"/>
    <n v="9"/>
  </r>
  <r>
    <x v="335"/>
    <x v="66"/>
    <s v="13:30"/>
    <x v="2"/>
    <s v="Ice Cream"/>
    <s v="Frozen"/>
    <n v="2"/>
    <n v="3.95"/>
    <s v="No"/>
    <n v="45"/>
    <n v="0"/>
    <n v="8"/>
    <n v="6.1"/>
    <n v="7.9"/>
  </r>
  <r>
    <x v="336"/>
    <x v="75"/>
    <s v="19:35"/>
    <x v="4"/>
    <s v="Washing Liquid"/>
    <s v="Household"/>
    <n v="1"/>
    <n v="3.39"/>
    <s v="Yes"/>
    <n v="11"/>
    <n v="0"/>
    <n v="6"/>
    <n v="4"/>
    <n v="3.39"/>
  </r>
  <r>
    <x v="337"/>
    <x v="60"/>
    <s v="11:05"/>
    <x v="4"/>
    <s v="Chocolate Cookies"/>
    <s v="Bakery"/>
    <n v="1"/>
    <n v="1.69"/>
    <s v="No"/>
    <n v="52"/>
    <n v="1"/>
    <n v="7"/>
    <n v="1.6"/>
    <n v="1.69"/>
  </r>
  <r>
    <x v="338"/>
    <x v="41"/>
    <s v="09:10"/>
    <x v="5"/>
    <s v="Greek Yogurt"/>
    <s v="Dairy"/>
    <n v="3"/>
    <n v="1.85"/>
    <s v="No"/>
    <n v="22"/>
    <n v="0"/>
    <n v="6"/>
    <n v="2.2999999999999998"/>
    <n v="5.5500000000000007"/>
  </r>
  <r>
    <x v="339"/>
    <x v="43"/>
    <s v="16:05"/>
    <x v="6"/>
    <s v="Bottled Water 6pk"/>
    <s v="Drinks"/>
    <n v="1"/>
    <n v="2.4900000000000002"/>
    <s v="No"/>
    <n v="29"/>
    <n v="0"/>
    <n v="4"/>
    <n v="4.4000000000000004"/>
    <n v="2.4900000000000002"/>
  </r>
  <r>
    <x v="340"/>
    <x v="79"/>
    <s v="21:25"/>
    <x v="1"/>
    <s v="Apples"/>
    <s v="Fresh Produce"/>
    <n v="3"/>
    <n v="1.52"/>
    <s v="Yes"/>
    <n v="58"/>
    <n v="0"/>
    <n v="4"/>
    <n v="4.7"/>
    <n v="4.5600000000000005"/>
  </r>
  <r>
    <x v="341"/>
    <x v="36"/>
    <s v="13:40"/>
    <x v="2"/>
    <s v="Apples"/>
    <s v="Fresh Produce"/>
    <n v="1"/>
    <n v="1.79"/>
    <s v="No"/>
    <n v="22"/>
    <n v="0"/>
    <n v="7"/>
    <n v="5.5"/>
    <n v="1.79"/>
  </r>
  <r>
    <x v="342"/>
    <x v="85"/>
    <s v="16:20"/>
    <x v="0"/>
    <s v="Cheddar Cheese"/>
    <s v="Dairy"/>
    <n v="1"/>
    <n v="2.37"/>
    <s v="Yes"/>
    <n v="45"/>
    <n v="0"/>
    <n v="7"/>
    <n v="1.5"/>
    <n v="2.37"/>
  </r>
  <r>
    <x v="343"/>
    <x v="49"/>
    <s v="07:45"/>
    <x v="6"/>
    <s v="White Bread"/>
    <s v="Bakery"/>
    <n v="2"/>
    <n v="1.39"/>
    <s v="No"/>
    <n v="48"/>
    <n v="0"/>
    <n v="4"/>
    <n v="4.2"/>
    <n v="2.78"/>
  </r>
  <r>
    <x v="344"/>
    <x v="24"/>
    <s v="18:30"/>
    <x v="6"/>
    <s v="Kitchen Roll"/>
    <s v="Household"/>
    <n v="1"/>
    <n v="3.29"/>
    <s v="No"/>
    <n v="38"/>
    <n v="0"/>
    <n v="6"/>
    <n v="4.8"/>
    <n v="3.29"/>
  </r>
  <r>
    <x v="345"/>
    <x v="0"/>
    <s v="19:55"/>
    <x v="0"/>
    <s v="Bin Bags"/>
    <s v="Household"/>
    <n v="3"/>
    <n v="2.69"/>
    <s v="No"/>
    <n v="60"/>
    <n v="0"/>
    <n v="8"/>
    <n v="5.6"/>
    <n v="8.07"/>
  </r>
  <r>
    <x v="346"/>
    <x v="0"/>
    <s v="13:20"/>
    <x v="0"/>
    <s v="Chocolate Cookies"/>
    <s v="Bakery"/>
    <n v="2"/>
    <n v="1.69"/>
    <s v="No"/>
    <n v="33"/>
    <n v="1"/>
    <n v="9"/>
    <n v="4.8"/>
    <n v="3.38"/>
  </r>
  <r>
    <x v="347"/>
    <x v="62"/>
    <s v="18:20"/>
    <x v="2"/>
    <s v="Milk 2L"/>
    <s v="Dairy"/>
    <n v="1"/>
    <n v="1.32"/>
    <s v="Yes"/>
    <n v="25"/>
    <n v="0"/>
    <n v="7"/>
    <n v="4.0999999999999996"/>
    <n v="1.32"/>
  </r>
  <r>
    <x v="348"/>
    <x v="81"/>
    <s v="14:15"/>
    <x v="1"/>
    <s v="White Bread"/>
    <s v="Bakery"/>
    <n v="1"/>
    <n v="1.18"/>
    <s v="Yes"/>
    <n v="55"/>
    <n v="0"/>
    <n v="6"/>
    <n v="1.4"/>
    <n v="1.18"/>
  </r>
  <r>
    <x v="349"/>
    <x v="41"/>
    <s v="18:50"/>
    <x v="5"/>
    <s v="Bottled Water 6pk"/>
    <s v="Drinks"/>
    <n v="1"/>
    <n v="2.4900000000000002"/>
    <s v="No"/>
    <n v="44"/>
    <n v="0"/>
    <n v="6"/>
    <n v="4.8"/>
    <n v="2.4900000000000002"/>
  </r>
  <r>
    <x v="350"/>
    <x v="56"/>
    <s v="19:50"/>
    <x v="5"/>
    <s v="Tomatoes"/>
    <s v="Fresh Produce"/>
    <n v="1"/>
    <n v="1.49"/>
    <s v="No"/>
    <n v="40"/>
    <n v="0"/>
    <n v="6"/>
    <n v="3.8"/>
    <n v="1.49"/>
  </r>
  <r>
    <x v="351"/>
    <x v="88"/>
    <s v="18:00"/>
    <x v="0"/>
    <s v="Cheddar Cheese"/>
    <s v="Dairy"/>
    <n v="1"/>
    <n v="2.79"/>
    <s v="No"/>
    <n v="40"/>
    <n v="0"/>
    <n v="6"/>
    <n v="4.2"/>
    <n v="2.79"/>
  </r>
  <r>
    <x v="352"/>
    <x v="6"/>
    <s v="17:30"/>
    <x v="3"/>
    <s v="Ice Cream"/>
    <s v="Frozen"/>
    <n v="1"/>
    <n v="3.95"/>
    <s v="No"/>
    <n v="30"/>
    <n v="0"/>
    <n v="8"/>
    <n v="2.7"/>
    <n v="3.95"/>
  </r>
  <r>
    <x v="353"/>
    <x v="16"/>
    <s v="10:15"/>
    <x v="1"/>
    <s v="Greek Yogurt"/>
    <s v="Dairy"/>
    <n v="4"/>
    <n v="1.57"/>
    <s v="Yes"/>
    <n v="46"/>
    <n v="1"/>
    <n v="6"/>
    <n v="1.3"/>
    <n v="6.28"/>
  </r>
  <r>
    <x v="354"/>
    <x v="43"/>
    <s v="18:00"/>
    <x v="6"/>
    <s v="Cola 2L"/>
    <s v="Drinks"/>
    <n v="1"/>
    <n v="1.75"/>
    <s v="No"/>
    <n v="10"/>
    <n v="0"/>
    <n v="8"/>
    <n v="4.5"/>
    <n v="1.75"/>
  </r>
  <r>
    <x v="355"/>
    <x v="1"/>
    <s v="16:05"/>
    <x v="1"/>
    <s v="White Bread"/>
    <s v="Bakery"/>
    <n v="2"/>
    <n v="1.39"/>
    <s v="No"/>
    <n v="34"/>
    <n v="0"/>
    <n v="4"/>
    <n v="2.5"/>
    <n v="2.78"/>
  </r>
  <r>
    <x v="356"/>
    <x v="44"/>
    <s v="15:00"/>
    <x v="3"/>
    <s v="Bin Bags"/>
    <s v="Household"/>
    <n v="2"/>
    <n v="2.29"/>
    <s v="Yes"/>
    <n v="10"/>
    <n v="0"/>
    <n v="4"/>
    <n v="3.8"/>
    <n v="4.58"/>
  </r>
  <r>
    <x v="357"/>
    <x v="85"/>
    <s v="09:10"/>
    <x v="0"/>
    <s v="Greek Yogurt"/>
    <s v="Dairy"/>
    <n v="1"/>
    <n v="1.85"/>
    <s v="No"/>
    <n v="36"/>
    <n v="0"/>
    <n v="5"/>
    <n v="3.9"/>
    <n v="1.85"/>
  </r>
  <r>
    <x v="358"/>
    <x v="73"/>
    <s v="20:00"/>
    <x v="5"/>
    <s v="Croissants"/>
    <s v="Bakery"/>
    <n v="1"/>
    <n v="1.69"/>
    <s v="Yes"/>
    <n v="54"/>
    <n v="0"/>
    <n v="6"/>
    <n v="2.8"/>
    <n v="1.69"/>
  </r>
  <r>
    <x v="359"/>
    <x v="89"/>
    <s v="18:50"/>
    <x v="2"/>
    <s v="Ice Cream"/>
    <s v="Frozen"/>
    <n v="1"/>
    <n v="3.95"/>
    <s v="No"/>
    <n v="36"/>
    <n v="0"/>
    <n v="7"/>
    <n v="5.2"/>
    <n v="3.95"/>
  </r>
  <r>
    <x v="360"/>
    <x v="33"/>
    <s v="18:25"/>
    <x v="2"/>
    <s v="Orange Juice"/>
    <s v="Drinks"/>
    <n v="2"/>
    <n v="1.61"/>
    <s v="Yes"/>
    <n v="39"/>
    <n v="0"/>
    <n v="9"/>
    <n v="4.4000000000000004"/>
    <n v="3.22"/>
  </r>
  <r>
    <x v="361"/>
    <x v="33"/>
    <s v="14:40"/>
    <x v="2"/>
    <s v="Bottled Water 6pk"/>
    <s v="Drinks"/>
    <n v="1"/>
    <n v="2.4900000000000002"/>
    <s v="No"/>
    <n v="56"/>
    <n v="0"/>
    <n v="4"/>
    <n v="3.5"/>
    <n v="2.4900000000000002"/>
  </r>
  <r>
    <x v="362"/>
    <x v="37"/>
    <s v="13:35"/>
    <x v="4"/>
    <s v="Cheddar Cheese"/>
    <s v="Dairy"/>
    <n v="1"/>
    <n v="2.79"/>
    <s v="No"/>
    <n v="60"/>
    <n v="0"/>
    <n v="6"/>
    <n v="5"/>
    <n v="2.79"/>
  </r>
  <r>
    <x v="363"/>
    <x v="31"/>
    <s v="09:30"/>
    <x v="4"/>
    <s v="Bananas"/>
    <s v="Fresh Produce"/>
    <n v="2"/>
    <n v="0.81"/>
    <s v="Yes"/>
    <n v="46"/>
    <n v="1"/>
    <n v="6"/>
    <n v="1.3"/>
    <n v="1.62"/>
  </r>
  <r>
    <x v="364"/>
    <x v="16"/>
    <s v="17:15"/>
    <x v="1"/>
    <s v="Ice Cream"/>
    <s v="Frozen"/>
    <n v="2"/>
    <n v="3.95"/>
    <s v="No"/>
    <n v="29"/>
    <n v="0"/>
    <n v="6"/>
    <n v="5.9"/>
    <n v="7.9"/>
  </r>
  <r>
    <x v="365"/>
    <x v="75"/>
    <s v="14:40"/>
    <x v="4"/>
    <s v="Bananas"/>
    <s v="Fresh Produce"/>
    <n v="4"/>
    <n v="0.81"/>
    <s v="Yes"/>
    <n v="49"/>
    <n v="0"/>
    <n v="6"/>
    <n v="1.4"/>
    <n v="3.24"/>
  </r>
  <r>
    <x v="366"/>
    <x v="35"/>
    <s v="12:40"/>
    <x v="0"/>
    <s v="Cola 2L"/>
    <s v="Drinks"/>
    <n v="2"/>
    <n v="1.75"/>
    <s v="No"/>
    <n v="9"/>
    <n v="0"/>
    <n v="8"/>
    <n v="4.9000000000000004"/>
    <n v="3.5"/>
  </r>
  <r>
    <x v="367"/>
    <x v="17"/>
    <s v="10:40"/>
    <x v="5"/>
    <s v="Bottled Water 6pk"/>
    <s v="Drinks"/>
    <n v="1"/>
    <n v="2.4900000000000002"/>
    <s v="No"/>
    <n v="52"/>
    <n v="0"/>
    <n v="6"/>
    <n v="1"/>
    <n v="2.4900000000000002"/>
  </r>
  <r>
    <x v="368"/>
    <x v="12"/>
    <s v="08:05"/>
    <x v="5"/>
    <s v="Milk 2L"/>
    <s v="Dairy"/>
    <n v="4"/>
    <n v="1.55"/>
    <s v="No"/>
    <n v="6"/>
    <n v="0"/>
    <n v="4"/>
    <n v="3.7"/>
    <n v="6.2"/>
  </r>
  <r>
    <x v="369"/>
    <x v="88"/>
    <s v="16:55"/>
    <x v="0"/>
    <s v="Washing Liquid"/>
    <s v="Household"/>
    <n v="2"/>
    <n v="3.39"/>
    <s v="Yes"/>
    <n v="52"/>
    <n v="0"/>
    <n v="6"/>
    <n v="1.1000000000000001"/>
    <n v="6.78"/>
  </r>
  <r>
    <x v="370"/>
    <x v="63"/>
    <s v="14:35"/>
    <x v="6"/>
    <s v="Washing Liquid"/>
    <s v="Household"/>
    <n v="1"/>
    <n v="3.39"/>
    <s v="Yes"/>
    <n v="25"/>
    <n v="0"/>
    <n v="5"/>
    <n v="4.3"/>
    <n v="3.39"/>
  </r>
  <r>
    <x v="371"/>
    <x v="27"/>
    <s v="13:00"/>
    <x v="3"/>
    <s v="Croissants"/>
    <s v="Bakery"/>
    <n v="1"/>
    <n v="1.69"/>
    <s v="Yes"/>
    <n v="53"/>
    <n v="0"/>
    <n v="6"/>
    <n v="5.7"/>
    <n v="1.69"/>
  </r>
  <r>
    <x v="372"/>
    <x v="10"/>
    <s v="21:35"/>
    <x v="3"/>
    <s v="Apples"/>
    <s v="Fresh Produce"/>
    <n v="2"/>
    <n v="1.52"/>
    <s v="Yes"/>
    <n v="11"/>
    <n v="2"/>
    <n v="4"/>
    <n v="4.8"/>
    <n v="3.04"/>
  </r>
  <r>
    <x v="373"/>
    <x v="35"/>
    <s v="10:10"/>
    <x v="0"/>
    <s v="Washing Liquid"/>
    <s v="Household"/>
    <n v="2"/>
    <n v="3.99"/>
    <s v="No"/>
    <n v="12"/>
    <n v="0"/>
    <n v="5"/>
    <n v="2.5"/>
    <n v="7.98"/>
  </r>
  <r>
    <x v="374"/>
    <x v="52"/>
    <s v="15:55"/>
    <x v="5"/>
    <s v="White Bread"/>
    <s v="Bakery"/>
    <n v="2"/>
    <n v="1.18"/>
    <s v="Yes"/>
    <n v="37"/>
    <n v="2"/>
    <n v="5"/>
    <n v="2.8"/>
    <n v="2.36"/>
  </r>
  <r>
    <x v="375"/>
    <x v="36"/>
    <s v="21:35"/>
    <x v="2"/>
    <s v="Frozen Pizza"/>
    <s v="Frozen"/>
    <n v="1"/>
    <n v="3.49"/>
    <s v="No"/>
    <n v="27"/>
    <n v="1"/>
    <n v="4"/>
    <n v="4.3"/>
    <n v="3.49"/>
  </r>
  <r>
    <x v="376"/>
    <x v="61"/>
    <s v="19:35"/>
    <x v="2"/>
    <s v="Cheddar Cheese"/>
    <s v="Dairy"/>
    <n v="1"/>
    <n v="2.79"/>
    <s v="No"/>
    <n v="9"/>
    <n v="0"/>
    <n v="6"/>
    <n v="3.1"/>
    <n v="2.79"/>
  </r>
  <r>
    <x v="377"/>
    <x v="58"/>
    <s v="09:55"/>
    <x v="3"/>
    <s v="Bottled Water 6pk"/>
    <s v="Drinks"/>
    <n v="1"/>
    <n v="2.4900000000000002"/>
    <s v="No"/>
    <n v="25"/>
    <n v="0"/>
    <n v="6"/>
    <n v="1.9"/>
    <n v="2.4900000000000002"/>
  </r>
  <r>
    <x v="378"/>
    <x v="27"/>
    <s v="18:25"/>
    <x v="3"/>
    <s v="Washing Liquid"/>
    <s v="Household"/>
    <n v="1"/>
    <n v="3.39"/>
    <s v="Yes"/>
    <n v="46"/>
    <n v="0"/>
    <n v="7"/>
    <n v="6"/>
    <n v="3.39"/>
  </r>
  <r>
    <x v="379"/>
    <x v="43"/>
    <s v="16:20"/>
    <x v="6"/>
    <s v="Frozen Pizza"/>
    <s v="Frozen"/>
    <n v="4"/>
    <n v="3.49"/>
    <s v="No"/>
    <n v="57"/>
    <n v="0"/>
    <n v="7"/>
    <n v="2.9"/>
    <n v="13.96"/>
  </r>
  <r>
    <x v="380"/>
    <x v="26"/>
    <s v="18:35"/>
    <x v="1"/>
    <s v="Kitchen Roll"/>
    <s v="Household"/>
    <n v="2"/>
    <n v="3.29"/>
    <s v="No"/>
    <n v="12"/>
    <n v="0"/>
    <n v="8"/>
    <n v="4.5999999999999996"/>
    <n v="6.58"/>
  </r>
  <r>
    <x v="381"/>
    <x v="32"/>
    <s v="13:30"/>
    <x v="1"/>
    <s v="Croissants"/>
    <s v="Bakery"/>
    <n v="2"/>
    <n v="1.69"/>
    <s v="Yes"/>
    <n v="41"/>
    <n v="1"/>
    <n v="7"/>
    <n v="3.5"/>
    <n v="3.38"/>
  </r>
  <r>
    <x v="382"/>
    <x v="17"/>
    <s v="14:05"/>
    <x v="5"/>
    <s v="Washing Liquid"/>
    <s v="Household"/>
    <n v="1"/>
    <n v="3.99"/>
    <s v="No"/>
    <n v="57"/>
    <n v="0"/>
    <n v="4"/>
    <n v="4.4000000000000004"/>
    <n v="3.99"/>
  </r>
  <r>
    <x v="383"/>
    <x v="68"/>
    <s v="12:20"/>
    <x v="1"/>
    <s v="Milk 2L"/>
    <s v="Dairy"/>
    <n v="1"/>
    <n v="1.55"/>
    <s v="No"/>
    <n v="12"/>
    <n v="0"/>
    <n v="9"/>
    <n v="4.0999999999999996"/>
    <n v="1.55"/>
  </r>
  <r>
    <x v="384"/>
    <x v="4"/>
    <s v="19:50"/>
    <x v="4"/>
    <s v="White Bread"/>
    <s v="Bakery"/>
    <n v="1"/>
    <n v="1.39"/>
    <s v="No"/>
    <n v="24"/>
    <n v="0"/>
    <n v="9"/>
    <n v="6.4"/>
    <n v="1.39"/>
  </r>
  <r>
    <x v="385"/>
    <x v="6"/>
    <s v="12:05"/>
    <x v="3"/>
    <s v="Bananas"/>
    <s v="Fresh Produce"/>
    <n v="1"/>
    <n v="0.95"/>
    <s v="No"/>
    <n v="19"/>
    <n v="0"/>
    <n v="7"/>
    <n v="6"/>
    <n v="0.95"/>
  </r>
  <r>
    <x v="386"/>
    <x v="43"/>
    <s v="14:40"/>
    <x v="6"/>
    <s v="Cheddar Cheese"/>
    <s v="Dairy"/>
    <n v="2"/>
    <n v="2.37"/>
    <s v="Yes"/>
    <n v="34"/>
    <n v="0"/>
    <n v="6"/>
    <n v="3"/>
    <n v="4.74"/>
  </r>
  <r>
    <x v="387"/>
    <x v="18"/>
    <s v="12:25"/>
    <x v="1"/>
    <s v="White Bread"/>
    <s v="Bakery"/>
    <n v="1"/>
    <n v="1.39"/>
    <s v="No"/>
    <n v="35"/>
    <n v="1"/>
    <n v="6"/>
    <n v="4.2"/>
    <n v="1.39"/>
  </r>
  <r>
    <x v="388"/>
    <x v="2"/>
    <s v="12:00"/>
    <x v="2"/>
    <s v="Washing Liquid"/>
    <s v="Household"/>
    <n v="1"/>
    <n v="3.99"/>
    <s v="No"/>
    <n v="43"/>
    <n v="0"/>
    <n v="8"/>
    <n v="5.8"/>
    <n v="3.99"/>
  </r>
  <r>
    <x v="389"/>
    <x v="36"/>
    <s v="14:55"/>
    <x v="2"/>
    <s v="Bin Bags"/>
    <s v="Household"/>
    <n v="1"/>
    <n v="2.29"/>
    <s v="Yes"/>
    <n v="58"/>
    <n v="0"/>
    <n v="6"/>
    <n v="1.4"/>
    <n v="2.29"/>
  </r>
  <r>
    <x v="390"/>
    <x v="6"/>
    <s v="12:20"/>
    <x v="3"/>
    <s v="Apples"/>
    <s v="Fresh Produce"/>
    <n v="2"/>
    <n v="1.52"/>
    <s v="Yes"/>
    <n v="6"/>
    <n v="3"/>
    <n v="6"/>
    <n v="4.0999999999999996"/>
    <n v="3.04"/>
  </r>
  <r>
    <x v="391"/>
    <x v="57"/>
    <s v="18:15"/>
    <x v="4"/>
    <s v="White Bread"/>
    <s v="Bakery"/>
    <n v="1"/>
    <n v="1.39"/>
    <s v="No"/>
    <n v="38"/>
    <n v="0"/>
    <n v="7"/>
    <n v="4.5999999999999996"/>
    <n v="1.39"/>
  </r>
  <r>
    <x v="392"/>
    <x v="47"/>
    <s v="08:20"/>
    <x v="4"/>
    <s v="Washing Liquid"/>
    <s v="Household"/>
    <n v="1"/>
    <n v="3.39"/>
    <s v="Yes"/>
    <n v="19"/>
    <n v="0"/>
    <n v="6"/>
    <n v="2.2999999999999998"/>
    <n v="3.39"/>
  </r>
  <r>
    <x v="393"/>
    <x v="88"/>
    <s v="12:05"/>
    <x v="0"/>
    <s v="Bin Bags"/>
    <s v="Household"/>
    <n v="1"/>
    <n v="2.29"/>
    <s v="Yes"/>
    <n v="16"/>
    <n v="0"/>
    <n v="6"/>
    <n v="4"/>
    <n v="2.29"/>
  </r>
  <r>
    <x v="394"/>
    <x v="15"/>
    <s v="12:00"/>
    <x v="2"/>
    <s v="Bananas"/>
    <s v="Fresh Produce"/>
    <n v="1"/>
    <n v="0.95"/>
    <s v="No"/>
    <n v="4"/>
    <n v="3"/>
    <n v="7"/>
    <n v="3.6"/>
    <n v="0.95"/>
  </r>
  <r>
    <x v="395"/>
    <x v="16"/>
    <s v="19:30"/>
    <x v="1"/>
    <s v="Bananas"/>
    <s v="Fresh Produce"/>
    <n v="3"/>
    <n v="0.95"/>
    <s v="No"/>
    <n v="45"/>
    <n v="0"/>
    <n v="9"/>
    <n v="4.2"/>
    <n v="2.8499999999999996"/>
  </r>
  <r>
    <x v="396"/>
    <x v="48"/>
    <s v="07:45"/>
    <x v="5"/>
    <s v="Chocolate Cookies"/>
    <s v="Bakery"/>
    <n v="1"/>
    <n v="1.69"/>
    <s v="No"/>
    <n v="30"/>
    <n v="0"/>
    <n v="5"/>
    <n v="3.1"/>
    <n v="1.69"/>
  </r>
  <r>
    <x v="397"/>
    <x v="18"/>
    <s v="18:10"/>
    <x v="1"/>
    <s v="White Bread"/>
    <s v="Bakery"/>
    <n v="2"/>
    <n v="1.39"/>
    <s v="No"/>
    <n v="12"/>
    <n v="1"/>
    <n v="7"/>
    <n v="5.7"/>
    <n v="2.78"/>
  </r>
  <r>
    <x v="398"/>
    <x v="28"/>
    <s v="12:15"/>
    <x v="0"/>
    <s v="Croissants"/>
    <s v="Bakery"/>
    <n v="3"/>
    <n v="1.99"/>
    <s v="No"/>
    <n v="17"/>
    <n v="3"/>
    <n v="7"/>
    <n v="3.8"/>
    <n v="5.97"/>
  </r>
  <r>
    <x v="399"/>
    <x v="42"/>
    <s v="12:35"/>
    <x v="5"/>
    <s v="Croissants"/>
    <s v="Bakery"/>
    <n v="1"/>
    <n v="1.99"/>
    <s v="No"/>
    <n v="45"/>
    <n v="2"/>
    <n v="6"/>
    <n v="3.7"/>
    <n v="1.99"/>
  </r>
  <r>
    <x v="400"/>
    <x v="83"/>
    <s v="17:30"/>
    <x v="6"/>
    <s v="Frozen Pizza"/>
    <s v="Frozen"/>
    <n v="1"/>
    <n v="3.49"/>
    <s v="No"/>
    <n v="17"/>
    <n v="0"/>
    <n v="9"/>
    <n v="4.9000000000000004"/>
    <n v="3.49"/>
  </r>
  <r>
    <x v="401"/>
    <x v="37"/>
    <s v="11:15"/>
    <x v="4"/>
    <s v="Milk 2L"/>
    <s v="Dairy"/>
    <n v="1"/>
    <n v="1.55"/>
    <s v="No"/>
    <n v="47"/>
    <n v="0"/>
    <n v="7"/>
    <n v="2.2000000000000002"/>
    <n v="1.55"/>
  </r>
  <r>
    <x v="402"/>
    <x v="24"/>
    <s v="09:05"/>
    <x v="6"/>
    <s v="Cola 2L"/>
    <s v="Drinks"/>
    <n v="4"/>
    <n v="1.75"/>
    <s v="No"/>
    <n v="23"/>
    <n v="1"/>
    <n v="7"/>
    <n v="1.2"/>
    <n v="7"/>
  </r>
  <r>
    <x v="403"/>
    <x v="1"/>
    <s v="07:55"/>
    <x v="1"/>
    <s v="Frozen Pizza"/>
    <s v="Frozen"/>
    <n v="3"/>
    <n v="3.49"/>
    <s v="No"/>
    <n v="39"/>
    <n v="0"/>
    <n v="7"/>
    <n v="2.6"/>
    <n v="10.47"/>
  </r>
  <r>
    <x v="404"/>
    <x v="62"/>
    <s v="16:05"/>
    <x v="2"/>
    <s v="Kitchen Roll"/>
    <s v="Household"/>
    <n v="1"/>
    <n v="3.29"/>
    <s v="No"/>
    <n v="40"/>
    <n v="0"/>
    <n v="6"/>
    <n v="2.4"/>
    <n v="3.29"/>
  </r>
  <r>
    <x v="405"/>
    <x v="11"/>
    <s v="17:00"/>
    <x v="1"/>
    <s v="Bananas"/>
    <s v="Fresh Produce"/>
    <n v="2"/>
    <n v="0.95"/>
    <s v="No"/>
    <n v="60"/>
    <n v="0"/>
    <n v="6"/>
    <n v="5.8"/>
    <n v="1.9"/>
  </r>
  <r>
    <x v="406"/>
    <x v="3"/>
    <s v="08:55"/>
    <x v="3"/>
    <s v="Kitchen Roll"/>
    <s v="Household"/>
    <n v="2"/>
    <n v="3.29"/>
    <s v="No"/>
    <n v="32"/>
    <n v="0"/>
    <n v="4"/>
    <n v="3.4"/>
    <n v="6.58"/>
  </r>
  <r>
    <x v="407"/>
    <x v="59"/>
    <s v="16:55"/>
    <x v="6"/>
    <s v="Croissants"/>
    <s v="Bakery"/>
    <n v="2"/>
    <n v="1.99"/>
    <s v="No"/>
    <n v="36"/>
    <n v="0"/>
    <n v="4"/>
    <n v="4.0999999999999996"/>
    <n v="3.98"/>
  </r>
  <r>
    <x v="408"/>
    <x v="58"/>
    <s v="13:10"/>
    <x v="3"/>
    <s v="Tomatoes"/>
    <s v="Fresh Produce"/>
    <n v="2"/>
    <n v="1.49"/>
    <s v="No"/>
    <n v="43"/>
    <n v="1"/>
    <n v="9"/>
    <n v="5.0999999999999996"/>
    <n v="2.98"/>
  </r>
  <r>
    <x v="409"/>
    <x v="28"/>
    <s v="14:15"/>
    <x v="0"/>
    <s v="Bin Bags"/>
    <s v="Household"/>
    <n v="1"/>
    <n v="2.69"/>
    <s v="No"/>
    <n v="42"/>
    <n v="1"/>
    <n v="7"/>
    <n v="2.1"/>
    <n v="2.69"/>
  </r>
  <r>
    <x v="410"/>
    <x v="67"/>
    <s v="07:15"/>
    <x v="2"/>
    <s v="Milk 2L"/>
    <s v="Dairy"/>
    <n v="1"/>
    <n v="1.55"/>
    <s v="No"/>
    <n v="38"/>
    <n v="0"/>
    <n v="4"/>
    <n v="3.2"/>
    <n v="1.55"/>
  </r>
  <r>
    <x v="411"/>
    <x v="45"/>
    <s v="16:10"/>
    <x v="1"/>
    <s v="Greek Yogurt"/>
    <s v="Dairy"/>
    <n v="1"/>
    <n v="1.85"/>
    <s v="No"/>
    <n v="6"/>
    <n v="0"/>
    <n v="7"/>
    <n v="2.7"/>
    <n v="1.85"/>
  </r>
  <r>
    <x v="412"/>
    <x v="11"/>
    <s v="14:50"/>
    <x v="1"/>
    <s v="Frozen Chips"/>
    <s v="Frozen"/>
    <n v="1"/>
    <n v="1.91"/>
    <s v="Yes"/>
    <n v="53"/>
    <n v="0"/>
    <n v="5"/>
    <n v="3.7"/>
    <n v="1.91"/>
  </r>
  <r>
    <x v="413"/>
    <x v="9"/>
    <s v="16:30"/>
    <x v="0"/>
    <s v="Greek Yogurt"/>
    <s v="Dairy"/>
    <n v="1"/>
    <n v="1.85"/>
    <s v="No"/>
    <n v="47"/>
    <n v="0"/>
    <n v="4"/>
    <n v="3"/>
    <n v="1.85"/>
  </r>
  <r>
    <x v="414"/>
    <x v="38"/>
    <s v="18:45"/>
    <x v="1"/>
    <s v="Ice Cream"/>
    <s v="Frozen"/>
    <n v="4"/>
    <n v="3.95"/>
    <s v="No"/>
    <n v="6"/>
    <n v="0"/>
    <n v="7"/>
    <n v="5.0999999999999996"/>
    <n v="15.8"/>
  </r>
  <r>
    <x v="415"/>
    <x v="1"/>
    <s v="17:55"/>
    <x v="1"/>
    <s v="Frozen Chips"/>
    <s v="Frozen"/>
    <n v="1"/>
    <n v="2.25"/>
    <s v="No"/>
    <n v="32"/>
    <n v="0"/>
    <n v="9"/>
    <n v="4"/>
    <n v="2.25"/>
  </r>
  <r>
    <x v="416"/>
    <x v="73"/>
    <s v="18:45"/>
    <x v="5"/>
    <s v="Apples"/>
    <s v="Fresh Produce"/>
    <n v="2"/>
    <n v="1.52"/>
    <s v="Yes"/>
    <n v="38"/>
    <n v="1"/>
    <n v="6"/>
    <n v="4.7"/>
    <n v="3.04"/>
  </r>
  <r>
    <x v="417"/>
    <x v="71"/>
    <s v="20:50"/>
    <x v="6"/>
    <s v="Cola 2L"/>
    <s v="Drinks"/>
    <n v="1"/>
    <n v="1.75"/>
    <s v="No"/>
    <n v="3"/>
    <n v="1"/>
    <n v="4"/>
    <n v="4.9000000000000004"/>
    <n v="1.75"/>
  </r>
  <r>
    <x v="418"/>
    <x v="69"/>
    <s v="17:00"/>
    <x v="2"/>
    <s v="Chocolate Cookies"/>
    <s v="Bakery"/>
    <n v="3"/>
    <n v="1.69"/>
    <s v="No"/>
    <n v="41"/>
    <n v="0"/>
    <n v="6"/>
    <n v="4.9000000000000004"/>
    <n v="5.07"/>
  </r>
  <r>
    <x v="419"/>
    <x v="84"/>
    <s v="20:45"/>
    <x v="1"/>
    <s v="Tomatoes"/>
    <s v="Fresh Produce"/>
    <n v="1"/>
    <n v="1.49"/>
    <s v="No"/>
    <n v="55"/>
    <n v="0"/>
    <n v="7"/>
    <n v="1.4"/>
    <n v="1.49"/>
  </r>
  <r>
    <x v="420"/>
    <x v="25"/>
    <s v="18:50"/>
    <x v="5"/>
    <s v="Kitchen Roll"/>
    <s v="Household"/>
    <n v="2"/>
    <n v="3.29"/>
    <s v="No"/>
    <n v="6"/>
    <n v="0"/>
    <n v="7"/>
    <n v="5.9"/>
    <n v="6.58"/>
  </r>
  <r>
    <x v="421"/>
    <x v="22"/>
    <s v="07:40"/>
    <x v="2"/>
    <s v="Apples"/>
    <s v="Fresh Produce"/>
    <n v="1"/>
    <n v="1.79"/>
    <s v="No"/>
    <n v="7"/>
    <n v="0"/>
    <n v="5"/>
    <n v="4.2"/>
    <n v="1.79"/>
  </r>
  <r>
    <x v="422"/>
    <x v="6"/>
    <s v="14:35"/>
    <x v="3"/>
    <s v="Orange Juice"/>
    <s v="Drinks"/>
    <n v="2"/>
    <n v="1.89"/>
    <s v="No"/>
    <n v="42"/>
    <n v="0"/>
    <n v="5"/>
    <n v="3.6"/>
    <n v="3.78"/>
  </r>
  <r>
    <x v="423"/>
    <x v="65"/>
    <s v="17:50"/>
    <x v="3"/>
    <s v="Milk 2L"/>
    <s v="Dairy"/>
    <n v="2"/>
    <n v="1.55"/>
    <s v="No"/>
    <n v="60"/>
    <n v="0"/>
    <n v="9"/>
    <n v="4.2"/>
    <n v="3.1"/>
  </r>
  <r>
    <x v="424"/>
    <x v="80"/>
    <s v="08:40"/>
    <x v="0"/>
    <s v="Frozen Pizza"/>
    <s v="Frozen"/>
    <n v="1"/>
    <n v="2.97"/>
    <s v="Yes"/>
    <n v="3"/>
    <n v="0"/>
    <n v="7"/>
    <n v="2.2000000000000002"/>
    <n v="2.97"/>
  </r>
  <r>
    <x v="425"/>
    <x v="30"/>
    <s v="13:30"/>
    <x v="0"/>
    <s v="Cola 2L"/>
    <s v="Drinks"/>
    <n v="4"/>
    <n v="1.75"/>
    <s v="No"/>
    <n v="47"/>
    <n v="0"/>
    <n v="6"/>
    <n v="2.9"/>
    <n v="7"/>
  </r>
  <r>
    <x v="426"/>
    <x v="74"/>
    <s v="12:20"/>
    <x v="0"/>
    <s v="Cola 2L"/>
    <s v="Drinks"/>
    <n v="2"/>
    <n v="1.75"/>
    <s v="No"/>
    <n v="4"/>
    <n v="0"/>
    <n v="8"/>
    <n v="5.4"/>
    <n v="3.5"/>
  </r>
  <r>
    <x v="427"/>
    <x v="86"/>
    <s v="13:45"/>
    <x v="6"/>
    <s v="Bottled Water 6pk"/>
    <s v="Drinks"/>
    <n v="2"/>
    <n v="2.12"/>
    <s v="Yes"/>
    <n v="57"/>
    <n v="0"/>
    <n v="9"/>
    <n v="3.3"/>
    <n v="4.24"/>
  </r>
  <r>
    <x v="428"/>
    <x v="36"/>
    <s v="19:55"/>
    <x v="2"/>
    <s v="Kitchen Roll"/>
    <s v="Household"/>
    <n v="1"/>
    <n v="3.29"/>
    <s v="No"/>
    <n v="19"/>
    <n v="0"/>
    <n v="9"/>
    <n v="4.9000000000000004"/>
    <n v="3.29"/>
  </r>
  <r>
    <x v="429"/>
    <x v="72"/>
    <s v="12:55"/>
    <x v="3"/>
    <s v="Orange Juice"/>
    <s v="Drinks"/>
    <n v="3"/>
    <n v="1.89"/>
    <s v="No"/>
    <n v="30"/>
    <n v="0"/>
    <n v="6"/>
    <n v="4.0999999999999996"/>
    <n v="5.67"/>
  </r>
  <r>
    <x v="430"/>
    <x v="6"/>
    <s v="18:50"/>
    <x v="3"/>
    <s v="Orange Juice"/>
    <s v="Drinks"/>
    <n v="2"/>
    <n v="1.89"/>
    <s v="No"/>
    <n v="13"/>
    <n v="0"/>
    <n v="8"/>
    <n v="5.4"/>
    <n v="3.78"/>
  </r>
  <r>
    <x v="431"/>
    <x v="33"/>
    <s v="16:20"/>
    <x v="2"/>
    <s v="Greek Yogurt"/>
    <s v="Dairy"/>
    <n v="1"/>
    <n v="1.85"/>
    <s v="No"/>
    <n v="26"/>
    <n v="0"/>
    <n v="4"/>
    <n v="4.2"/>
    <n v="1.85"/>
  </r>
  <r>
    <x v="432"/>
    <x v="42"/>
    <s v="15:10"/>
    <x v="5"/>
    <s v="Apples"/>
    <s v="Fresh Produce"/>
    <n v="1"/>
    <n v="1.52"/>
    <s v="Yes"/>
    <n v="27"/>
    <n v="0"/>
    <n v="7"/>
    <n v="2.6"/>
    <n v="1.52"/>
  </r>
  <r>
    <x v="433"/>
    <x v="15"/>
    <s v="09:20"/>
    <x v="2"/>
    <s v="Orange Juice"/>
    <s v="Drinks"/>
    <n v="1"/>
    <n v="1.89"/>
    <s v="No"/>
    <n v="43"/>
    <n v="1"/>
    <n v="6"/>
    <n v="2.8"/>
    <n v="1.89"/>
  </r>
  <r>
    <x v="434"/>
    <x v="6"/>
    <s v="15:45"/>
    <x v="3"/>
    <s v="Frozen Chips"/>
    <s v="Frozen"/>
    <n v="1"/>
    <n v="2.25"/>
    <s v="No"/>
    <n v="11"/>
    <n v="1"/>
    <n v="7"/>
    <n v="2.6"/>
    <n v="2.25"/>
  </r>
  <r>
    <x v="435"/>
    <x v="4"/>
    <s v="10:10"/>
    <x v="4"/>
    <s v="Washing Liquid"/>
    <s v="Household"/>
    <n v="1"/>
    <n v="3.99"/>
    <s v="No"/>
    <n v="45"/>
    <n v="0"/>
    <n v="6"/>
    <n v="1.9"/>
    <n v="3.99"/>
  </r>
  <r>
    <x v="436"/>
    <x v="85"/>
    <s v="20:40"/>
    <x v="0"/>
    <s v="Tomatoes"/>
    <s v="Fresh Produce"/>
    <n v="2"/>
    <n v="1.49"/>
    <s v="No"/>
    <n v="49"/>
    <n v="0"/>
    <n v="5"/>
    <n v="3.4"/>
    <n v="2.98"/>
  </r>
  <r>
    <x v="437"/>
    <x v="0"/>
    <s v="12:40"/>
    <x v="0"/>
    <s v="Frozen Pizza"/>
    <s v="Frozen"/>
    <n v="1"/>
    <n v="3.49"/>
    <s v="No"/>
    <n v="14"/>
    <n v="0"/>
    <n v="8"/>
    <n v="4"/>
    <n v="3.49"/>
  </r>
  <r>
    <x v="438"/>
    <x v="83"/>
    <s v="18:05"/>
    <x v="6"/>
    <s v="Bananas"/>
    <s v="Fresh Produce"/>
    <n v="1"/>
    <n v="0.95"/>
    <s v="No"/>
    <n v="15"/>
    <n v="1"/>
    <n v="9"/>
    <n v="3"/>
    <n v="0.95"/>
  </r>
  <r>
    <x v="439"/>
    <x v="64"/>
    <s v="17:15"/>
    <x v="4"/>
    <s v="Bottled Water 6pk"/>
    <s v="Drinks"/>
    <n v="2"/>
    <n v="2.4900000000000002"/>
    <s v="No"/>
    <n v="57"/>
    <n v="0"/>
    <n v="9"/>
    <n v="4.8"/>
    <n v="4.9800000000000004"/>
  </r>
  <r>
    <x v="440"/>
    <x v="36"/>
    <s v="08:35"/>
    <x v="2"/>
    <s v="Bananas"/>
    <s v="Fresh Produce"/>
    <n v="1"/>
    <n v="0.95"/>
    <s v="No"/>
    <n v="45"/>
    <n v="1"/>
    <n v="7"/>
    <n v="2.1"/>
    <n v="0.95"/>
  </r>
  <r>
    <x v="441"/>
    <x v="32"/>
    <s v="18:25"/>
    <x v="1"/>
    <s v="Greek Yogurt"/>
    <s v="Dairy"/>
    <n v="2"/>
    <n v="1.85"/>
    <s v="No"/>
    <n v="8"/>
    <n v="0"/>
    <n v="7"/>
    <n v="5"/>
    <n v="3.7"/>
  </r>
  <r>
    <x v="442"/>
    <x v="40"/>
    <s v="16:45"/>
    <x v="6"/>
    <s v="Chocolate Cookies"/>
    <s v="Bakery"/>
    <n v="2"/>
    <n v="1.69"/>
    <s v="No"/>
    <n v="22"/>
    <n v="0"/>
    <n v="4"/>
    <n v="4.0999999999999996"/>
    <n v="3.38"/>
  </r>
  <r>
    <x v="443"/>
    <x v="51"/>
    <s v="14:25"/>
    <x v="5"/>
    <s v="Ice Cream"/>
    <s v="Frozen"/>
    <n v="2"/>
    <n v="3.95"/>
    <s v="No"/>
    <n v="35"/>
    <n v="0"/>
    <n v="7"/>
    <n v="2.1"/>
    <n v="7.9"/>
  </r>
  <r>
    <x v="444"/>
    <x v="25"/>
    <s v="18:55"/>
    <x v="5"/>
    <s v="Orange Juice"/>
    <s v="Drinks"/>
    <n v="1"/>
    <n v="1.89"/>
    <s v="No"/>
    <n v="11"/>
    <n v="0"/>
    <n v="6"/>
    <n v="5.8"/>
    <n v="1.89"/>
  </r>
  <r>
    <x v="445"/>
    <x v="87"/>
    <s v="18:55"/>
    <x v="0"/>
    <s v="Orange Juice"/>
    <s v="Drinks"/>
    <n v="1"/>
    <n v="1.89"/>
    <s v="No"/>
    <n v="55"/>
    <n v="0"/>
    <n v="7"/>
    <n v="4"/>
    <n v="1.89"/>
  </r>
  <r>
    <x v="446"/>
    <x v="81"/>
    <s v="13:20"/>
    <x v="1"/>
    <s v="Milk 2L"/>
    <s v="Dairy"/>
    <n v="2"/>
    <n v="1.55"/>
    <s v="No"/>
    <n v="28"/>
    <n v="0"/>
    <n v="7"/>
    <n v="4.0999999999999996"/>
    <n v="3.1"/>
  </r>
  <r>
    <x v="447"/>
    <x v="46"/>
    <s v="18:40"/>
    <x v="2"/>
    <s v="Frozen Pizza"/>
    <s v="Frozen"/>
    <n v="1"/>
    <n v="2.97"/>
    <s v="Yes"/>
    <n v="43"/>
    <n v="0"/>
    <n v="8"/>
    <n v="5.0999999999999996"/>
    <n v="2.97"/>
  </r>
  <r>
    <x v="448"/>
    <x v="38"/>
    <s v="13:50"/>
    <x v="1"/>
    <s v="Orange Juice"/>
    <s v="Drinks"/>
    <n v="1"/>
    <n v="1.89"/>
    <s v="No"/>
    <n v="45"/>
    <n v="0"/>
    <n v="6"/>
    <n v="4.7"/>
    <n v="1.89"/>
  </r>
  <r>
    <x v="449"/>
    <x v="59"/>
    <s v="19:45"/>
    <x v="6"/>
    <s v="Orange Juice"/>
    <s v="Drinks"/>
    <n v="2"/>
    <n v="1.89"/>
    <s v="No"/>
    <n v="45"/>
    <n v="0"/>
    <n v="8"/>
    <n v="4.7"/>
    <n v="3.78"/>
  </r>
  <r>
    <x v="450"/>
    <x v="62"/>
    <s v="17:05"/>
    <x v="2"/>
    <s v="Apples"/>
    <s v="Fresh Produce"/>
    <n v="1"/>
    <n v="1.79"/>
    <s v="No"/>
    <n v="28"/>
    <n v="0"/>
    <n v="6"/>
    <n v="4.7"/>
    <n v="1.79"/>
  </r>
  <r>
    <x v="451"/>
    <x v="5"/>
    <s v="19:10"/>
    <x v="4"/>
    <s v="Apples"/>
    <s v="Fresh Produce"/>
    <n v="1"/>
    <n v="1.79"/>
    <s v="No"/>
    <n v="53"/>
    <n v="0"/>
    <n v="8"/>
    <n v="6.3"/>
    <n v="1.79"/>
  </r>
  <r>
    <x v="452"/>
    <x v="80"/>
    <s v="17:00"/>
    <x v="0"/>
    <s v="Kitchen Roll"/>
    <s v="Household"/>
    <n v="1"/>
    <n v="2.8"/>
    <s v="Yes"/>
    <n v="16"/>
    <n v="0"/>
    <n v="9"/>
    <n v="5.0999999999999996"/>
    <n v="2.8"/>
  </r>
  <r>
    <x v="453"/>
    <x v="66"/>
    <s v="16:55"/>
    <x v="2"/>
    <s v="Orange Juice"/>
    <s v="Drinks"/>
    <n v="1"/>
    <n v="1.89"/>
    <s v="No"/>
    <n v="6"/>
    <n v="0"/>
    <n v="4"/>
    <n v="2.9"/>
    <n v="1.89"/>
  </r>
  <r>
    <x v="454"/>
    <x v="54"/>
    <s v="12:15"/>
    <x v="6"/>
    <s v="Croissants"/>
    <s v="Bakery"/>
    <n v="1"/>
    <n v="1.99"/>
    <s v="No"/>
    <n v="25"/>
    <n v="0"/>
    <n v="7"/>
    <n v="4.4000000000000004"/>
    <n v="1.99"/>
  </r>
  <r>
    <x v="455"/>
    <x v="34"/>
    <s v="17:10"/>
    <x v="6"/>
    <s v="Milk 2L"/>
    <s v="Dairy"/>
    <n v="1"/>
    <n v="1.55"/>
    <s v="No"/>
    <n v="60"/>
    <n v="0"/>
    <n v="8"/>
    <n v="5.2"/>
    <n v="1.55"/>
  </r>
  <r>
    <x v="456"/>
    <x v="36"/>
    <s v="10:15"/>
    <x v="2"/>
    <s v="Croissants"/>
    <s v="Bakery"/>
    <n v="3"/>
    <n v="1.99"/>
    <s v="No"/>
    <n v="23"/>
    <n v="0"/>
    <n v="4"/>
    <n v="4.5"/>
    <n v="5.97"/>
  </r>
  <r>
    <x v="457"/>
    <x v="34"/>
    <s v="14:45"/>
    <x v="6"/>
    <s v="Chocolate Cookies"/>
    <s v="Bakery"/>
    <n v="1"/>
    <n v="1.69"/>
    <s v="No"/>
    <n v="43"/>
    <n v="0"/>
    <n v="6"/>
    <n v="2.2999999999999998"/>
    <n v="1.69"/>
  </r>
  <r>
    <x v="458"/>
    <x v="17"/>
    <s v="19:15"/>
    <x v="5"/>
    <s v="Chocolate Cookies"/>
    <s v="Bakery"/>
    <n v="2"/>
    <n v="1.44"/>
    <s v="Yes"/>
    <n v="44"/>
    <n v="1"/>
    <n v="8"/>
    <n v="3.4"/>
    <n v="2.88"/>
  </r>
  <r>
    <x v="459"/>
    <x v="22"/>
    <s v="13:05"/>
    <x v="2"/>
    <s v="Frozen Chips"/>
    <s v="Frozen"/>
    <n v="2"/>
    <n v="1.91"/>
    <s v="Yes"/>
    <n v="44"/>
    <n v="0"/>
    <n v="8"/>
    <n v="2.7"/>
    <n v="3.82"/>
  </r>
  <r>
    <x v="460"/>
    <x v="64"/>
    <s v="15:00"/>
    <x v="4"/>
    <s v="Frozen Pizza"/>
    <s v="Frozen"/>
    <n v="2"/>
    <n v="3.49"/>
    <s v="No"/>
    <n v="13"/>
    <n v="0"/>
    <n v="6"/>
    <n v="2.2999999999999998"/>
    <n v="6.98"/>
  </r>
  <r>
    <x v="461"/>
    <x v="32"/>
    <s v="16:20"/>
    <x v="1"/>
    <s v="Bottled Water 6pk"/>
    <s v="Drinks"/>
    <n v="1"/>
    <n v="2.4900000000000002"/>
    <s v="No"/>
    <n v="57"/>
    <n v="0"/>
    <n v="7"/>
    <n v="1.3"/>
    <n v="2.4900000000000002"/>
  </r>
  <r>
    <x v="462"/>
    <x v="29"/>
    <s v="17:50"/>
    <x v="5"/>
    <s v="Milk 2L"/>
    <s v="Dairy"/>
    <n v="3"/>
    <n v="1.55"/>
    <s v="No"/>
    <n v="23"/>
    <n v="0"/>
    <n v="9"/>
    <n v="5.2"/>
    <n v="4.6500000000000004"/>
  </r>
  <r>
    <x v="463"/>
    <x v="25"/>
    <s v="09:20"/>
    <x v="5"/>
    <s v="Greek Yogurt"/>
    <s v="Dairy"/>
    <n v="2"/>
    <n v="1.85"/>
    <s v="No"/>
    <n v="40"/>
    <n v="0"/>
    <n v="5"/>
    <n v="5.2"/>
    <n v="3.7"/>
  </r>
  <r>
    <x v="464"/>
    <x v="24"/>
    <s v="21:30"/>
    <x v="6"/>
    <s v="Apples"/>
    <s v="Fresh Produce"/>
    <n v="1"/>
    <n v="1.79"/>
    <s v="No"/>
    <n v="49"/>
    <n v="2"/>
    <n v="7"/>
    <n v="2.4"/>
    <n v="1.79"/>
  </r>
  <r>
    <x v="465"/>
    <x v="13"/>
    <s v="16:00"/>
    <x v="6"/>
    <s v="Washing Liquid"/>
    <s v="Household"/>
    <n v="3"/>
    <n v="3.99"/>
    <s v="No"/>
    <n v="16"/>
    <n v="0"/>
    <n v="4"/>
    <n v="3.3"/>
    <n v="11.97"/>
  </r>
  <r>
    <x v="466"/>
    <x v="0"/>
    <s v="12:00"/>
    <x v="0"/>
    <s v="Washing Liquid"/>
    <s v="Household"/>
    <n v="1"/>
    <n v="3.99"/>
    <s v="No"/>
    <n v="14"/>
    <n v="0"/>
    <n v="8"/>
    <n v="4.7"/>
    <n v="3.99"/>
  </r>
  <r>
    <x v="467"/>
    <x v="18"/>
    <s v="17:50"/>
    <x v="1"/>
    <s v="Frozen Pizza"/>
    <s v="Frozen"/>
    <n v="3"/>
    <n v="3.49"/>
    <s v="No"/>
    <n v="38"/>
    <n v="0"/>
    <n v="7"/>
    <n v="5.6"/>
    <n v="10.47"/>
  </r>
  <r>
    <x v="468"/>
    <x v="56"/>
    <s v="19:25"/>
    <x v="5"/>
    <s v="Milk 2L"/>
    <s v="Dairy"/>
    <n v="1"/>
    <n v="1.32"/>
    <s v="Yes"/>
    <n v="3"/>
    <n v="0"/>
    <n v="8"/>
    <n v="3.1"/>
    <n v="1.32"/>
  </r>
  <r>
    <x v="469"/>
    <x v="81"/>
    <s v="21:10"/>
    <x v="1"/>
    <s v="Ice Cream"/>
    <s v="Frozen"/>
    <n v="1"/>
    <n v="3.95"/>
    <s v="No"/>
    <n v="44"/>
    <n v="0"/>
    <n v="4"/>
    <n v="4.7"/>
    <n v="3.95"/>
  </r>
  <r>
    <x v="470"/>
    <x v="80"/>
    <s v="19:55"/>
    <x v="0"/>
    <s v="Greek Yogurt"/>
    <s v="Dairy"/>
    <n v="1"/>
    <n v="1.85"/>
    <s v="No"/>
    <n v="32"/>
    <n v="0"/>
    <n v="8"/>
    <n v="4.8"/>
    <n v="1.85"/>
  </r>
  <r>
    <x v="471"/>
    <x v="11"/>
    <s v="17:10"/>
    <x v="1"/>
    <s v="Bottled Water 6pk"/>
    <s v="Drinks"/>
    <n v="3"/>
    <n v="2.4900000000000002"/>
    <s v="No"/>
    <n v="60"/>
    <n v="0"/>
    <n v="7"/>
    <n v="5.0999999999999996"/>
    <n v="7.4700000000000006"/>
  </r>
  <r>
    <x v="472"/>
    <x v="56"/>
    <s v="19:50"/>
    <x v="5"/>
    <s v="Chocolate Cookies"/>
    <s v="Bakery"/>
    <n v="1"/>
    <n v="1.69"/>
    <s v="No"/>
    <n v="56"/>
    <n v="0"/>
    <n v="7"/>
    <n v="4.5"/>
    <n v="1.69"/>
  </r>
  <r>
    <x v="473"/>
    <x v="0"/>
    <s v="09:45"/>
    <x v="0"/>
    <s v="Washing Liquid"/>
    <s v="Household"/>
    <n v="2"/>
    <n v="3.99"/>
    <s v="No"/>
    <n v="58"/>
    <n v="0"/>
    <n v="4"/>
    <n v="4.8"/>
    <n v="7.98"/>
  </r>
  <r>
    <x v="474"/>
    <x v="1"/>
    <s v="16:50"/>
    <x v="1"/>
    <s v="White Bread"/>
    <s v="Bakery"/>
    <n v="1"/>
    <n v="1.39"/>
    <s v="No"/>
    <n v="30"/>
    <n v="2"/>
    <n v="7"/>
    <n v="1.4"/>
    <n v="1.39"/>
  </r>
  <r>
    <x v="475"/>
    <x v="50"/>
    <s v="19:15"/>
    <x v="3"/>
    <s v="Cola 2L"/>
    <s v="Drinks"/>
    <n v="1"/>
    <n v="1.75"/>
    <s v="No"/>
    <n v="60"/>
    <n v="0"/>
    <n v="8"/>
    <n v="3.6"/>
    <n v="1.75"/>
  </r>
  <r>
    <x v="476"/>
    <x v="84"/>
    <s v="13:45"/>
    <x v="1"/>
    <s v="Croissants"/>
    <s v="Bakery"/>
    <n v="3"/>
    <n v="1.69"/>
    <s v="Yes"/>
    <n v="50"/>
    <n v="1"/>
    <n v="8"/>
    <n v="5.6"/>
    <n v="5.07"/>
  </r>
  <r>
    <x v="477"/>
    <x v="5"/>
    <s v="11:15"/>
    <x v="4"/>
    <s v="Frozen Pizza"/>
    <s v="Frozen"/>
    <n v="1"/>
    <n v="3.49"/>
    <s v="No"/>
    <n v="7"/>
    <n v="0"/>
    <n v="7"/>
    <n v="2.5"/>
    <n v="3.49"/>
  </r>
  <r>
    <x v="478"/>
    <x v="68"/>
    <s v="13:30"/>
    <x v="1"/>
    <s v="Ice Cream"/>
    <s v="Frozen"/>
    <n v="1"/>
    <n v="3.36"/>
    <s v="Yes"/>
    <n v="25"/>
    <n v="0"/>
    <n v="7"/>
    <n v="3.2"/>
    <n v="3.36"/>
  </r>
  <r>
    <x v="479"/>
    <x v="3"/>
    <s v="12:10"/>
    <x v="3"/>
    <s v="Orange Juice"/>
    <s v="Drinks"/>
    <n v="1"/>
    <n v="1.89"/>
    <s v="No"/>
    <n v="28"/>
    <n v="0"/>
    <n v="9"/>
    <n v="4.8"/>
    <n v="1.89"/>
  </r>
  <r>
    <x v="480"/>
    <x v="89"/>
    <s v="16:30"/>
    <x v="2"/>
    <s v="Frozen Pizza"/>
    <s v="Frozen"/>
    <n v="1"/>
    <n v="2.97"/>
    <s v="Yes"/>
    <n v="27"/>
    <n v="0"/>
    <n v="5"/>
    <n v="3.9"/>
    <n v="2.97"/>
  </r>
  <r>
    <x v="481"/>
    <x v="36"/>
    <s v="17:15"/>
    <x v="2"/>
    <s v="Bottled Water 6pk"/>
    <s v="Drinks"/>
    <n v="1"/>
    <n v="2.4900000000000002"/>
    <s v="No"/>
    <n v="58"/>
    <n v="0"/>
    <n v="9"/>
    <n v="4.7"/>
    <n v="2.4900000000000002"/>
  </r>
  <r>
    <x v="482"/>
    <x v="50"/>
    <s v="10:00"/>
    <x v="3"/>
    <s v="Washing Liquid"/>
    <s v="Household"/>
    <n v="1"/>
    <n v="3.99"/>
    <s v="No"/>
    <n v="12"/>
    <n v="0"/>
    <n v="6"/>
    <n v="2.4"/>
    <n v="3.99"/>
  </r>
  <r>
    <x v="483"/>
    <x v="28"/>
    <s v="12:45"/>
    <x v="0"/>
    <s v="Tomatoes"/>
    <s v="Fresh Produce"/>
    <n v="1"/>
    <n v="1.49"/>
    <s v="No"/>
    <n v="54"/>
    <n v="1"/>
    <n v="9"/>
    <n v="4.2"/>
    <n v="1.49"/>
  </r>
  <r>
    <x v="484"/>
    <x v="59"/>
    <s v="21:15"/>
    <x v="6"/>
    <s v="Frozen Chips"/>
    <s v="Frozen"/>
    <n v="3"/>
    <n v="2.25"/>
    <s v="No"/>
    <n v="18"/>
    <n v="0"/>
    <n v="5"/>
    <n v="3.3"/>
    <n v="6.75"/>
  </r>
  <r>
    <x v="485"/>
    <x v="10"/>
    <s v="18:45"/>
    <x v="3"/>
    <s v="Tomatoes"/>
    <s v="Fresh Produce"/>
    <n v="2"/>
    <n v="1.49"/>
    <s v="No"/>
    <n v="32"/>
    <n v="0"/>
    <n v="6"/>
    <n v="4.5"/>
    <n v="2.98"/>
  </r>
  <r>
    <x v="486"/>
    <x v="77"/>
    <s v="14:00"/>
    <x v="3"/>
    <s v="Orange Juice"/>
    <s v="Drinks"/>
    <n v="1"/>
    <n v="1.61"/>
    <s v="Yes"/>
    <n v="5"/>
    <n v="0"/>
    <n v="7"/>
    <n v="2.2999999999999998"/>
    <n v="1.61"/>
  </r>
  <r>
    <x v="487"/>
    <x v="78"/>
    <s v="13:35"/>
    <x v="0"/>
    <s v="Croissants"/>
    <s v="Bakery"/>
    <n v="1"/>
    <n v="1.69"/>
    <s v="Yes"/>
    <n v="12"/>
    <n v="2"/>
    <n v="7"/>
    <n v="4"/>
    <n v="1.69"/>
  </r>
  <r>
    <x v="488"/>
    <x v="47"/>
    <s v="12:00"/>
    <x v="4"/>
    <s v="Cola 2L"/>
    <s v="Drinks"/>
    <n v="1"/>
    <n v="1.75"/>
    <s v="No"/>
    <n v="15"/>
    <n v="0"/>
    <n v="7"/>
    <n v="6.1"/>
    <n v="1.75"/>
  </r>
  <r>
    <x v="489"/>
    <x v="46"/>
    <s v="18:05"/>
    <x v="2"/>
    <s v="Orange Juice"/>
    <s v="Drinks"/>
    <n v="2"/>
    <n v="1.61"/>
    <s v="Yes"/>
    <n v="38"/>
    <n v="0"/>
    <n v="8"/>
    <n v="4.4000000000000004"/>
    <n v="3.22"/>
  </r>
  <r>
    <x v="490"/>
    <x v="51"/>
    <s v="13:50"/>
    <x v="5"/>
    <s v="Frozen Pizza"/>
    <s v="Frozen"/>
    <n v="1"/>
    <n v="3.49"/>
    <s v="No"/>
    <n v="44"/>
    <n v="1"/>
    <n v="7"/>
    <n v="4.4000000000000004"/>
    <n v="3.49"/>
  </r>
  <r>
    <x v="491"/>
    <x v="36"/>
    <s v="19:25"/>
    <x v="2"/>
    <s v="Frozen Pizza"/>
    <s v="Frozen"/>
    <n v="1"/>
    <n v="3.49"/>
    <s v="No"/>
    <n v="47"/>
    <n v="0"/>
    <n v="6"/>
    <n v="4.8"/>
    <n v="3.49"/>
  </r>
  <r>
    <x v="492"/>
    <x v="88"/>
    <s v="08:35"/>
    <x v="0"/>
    <s v="Apples"/>
    <s v="Fresh Produce"/>
    <n v="2"/>
    <n v="1.52"/>
    <s v="Yes"/>
    <n v="44"/>
    <n v="0"/>
    <n v="4"/>
    <n v="2.2999999999999998"/>
    <n v="3.04"/>
  </r>
  <r>
    <x v="493"/>
    <x v="9"/>
    <s v="13:45"/>
    <x v="0"/>
    <s v="Orange Juice"/>
    <s v="Drinks"/>
    <n v="3"/>
    <n v="1.61"/>
    <s v="Yes"/>
    <n v="27"/>
    <n v="0"/>
    <n v="9"/>
    <n v="5.5"/>
    <n v="4.83"/>
  </r>
  <r>
    <x v="494"/>
    <x v="69"/>
    <s v="14:10"/>
    <x v="2"/>
    <s v="Croissants"/>
    <s v="Bakery"/>
    <n v="3"/>
    <n v="1.69"/>
    <s v="Yes"/>
    <n v="14"/>
    <n v="0"/>
    <n v="6"/>
    <n v="1.3"/>
    <n v="5.07"/>
  </r>
  <r>
    <x v="495"/>
    <x v="16"/>
    <s v="15:55"/>
    <x v="1"/>
    <s v="Bananas"/>
    <s v="Fresh Produce"/>
    <n v="1"/>
    <n v="0.81"/>
    <s v="Yes"/>
    <n v="29"/>
    <n v="0"/>
    <n v="4"/>
    <n v="4"/>
    <n v="0.81"/>
  </r>
  <r>
    <x v="496"/>
    <x v="42"/>
    <s v="12:25"/>
    <x v="5"/>
    <s v="Cola 2L"/>
    <s v="Drinks"/>
    <n v="2"/>
    <n v="1.49"/>
    <s v="Yes"/>
    <n v="17"/>
    <n v="0"/>
    <n v="8"/>
    <n v="6"/>
    <n v="2.98"/>
  </r>
  <r>
    <x v="497"/>
    <x v="88"/>
    <s v="10:45"/>
    <x v="0"/>
    <s v="Croissants"/>
    <s v="Bakery"/>
    <n v="1"/>
    <n v="1.69"/>
    <s v="Yes"/>
    <n v="28"/>
    <n v="1"/>
    <n v="7"/>
    <n v="2.7"/>
    <n v="1.69"/>
  </r>
  <r>
    <x v="498"/>
    <x v="52"/>
    <s v="17:55"/>
    <x v="5"/>
    <s v="Chocolate Cookies"/>
    <s v="Bakery"/>
    <n v="2"/>
    <n v="1.69"/>
    <s v="No"/>
    <n v="33"/>
    <n v="2"/>
    <n v="7"/>
    <n v="4.8"/>
    <n v="3.38"/>
  </r>
  <r>
    <x v="499"/>
    <x v="42"/>
    <s v="12:20"/>
    <x v="5"/>
    <s v="Bottled Water 6pk"/>
    <s v="Drinks"/>
    <n v="1"/>
    <n v="2.12"/>
    <s v="Yes"/>
    <n v="46"/>
    <n v="0"/>
    <n v="6"/>
    <n v="5"/>
    <n v="2.12"/>
  </r>
  <r>
    <x v="500"/>
    <x v="38"/>
    <s v="16:00"/>
    <x v="1"/>
    <s v="Greek Yogurt"/>
    <s v="Dairy"/>
    <n v="1"/>
    <n v="1.85"/>
    <s v="No"/>
    <n v="43"/>
    <n v="0"/>
    <n v="7"/>
    <n v="1.6"/>
    <n v="1.85"/>
  </r>
  <r>
    <x v="501"/>
    <x v="37"/>
    <s v="17:00"/>
    <x v="4"/>
    <s v="Croissants"/>
    <s v="Bakery"/>
    <n v="1"/>
    <n v="1.69"/>
    <s v="Yes"/>
    <n v="13"/>
    <n v="1"/>
    <n v="9"/>
    <n v="4.4000000000000004"/>
    <n v="1.69"/>
  </r>
  <r>
    <x v="502"/>
    <x v="77"/>
    <s v="16:00"/>
    <x v="3"/>
    <s v="Greek Yogurt"/>
    <s v="Dairy"/>
    <n v="1"/>
    <n v="1.57"/>
    <s v="Yes"/>
    <n v="23"/>
    <n v="0"/>
    <n v="6"/>
    <n v="1.5"/>
    <n v="1.57"/>
  </r>
  <r>
    <x v="503"/>
    <x v="82"/>
    <s v="14:25"/>
    <x v="0"/>
    <s v="Tomatoes"/>
    <s v="Fresh Produce"/>
    <n v="1"/>
    <n v="1.49"/>
    <s v="No"/>
    <n v="33"/>
    <n v="1"/>
    <n v="5"/>
    <n v="4.7"/>
    <n v="1.49"/>
  </r>
  <r>
    <x v="504"/>
    <x v="36"/>
    <s v="12:00"/>
    <x v="2"/>
    <s v="Ice Cream"/>
    <s v="Frozen"/>
    <n v="1"/>
    <n v="3.95"/>
    <s v="No"/>
    <n v="31"/>
    <n v="0"/>
    <n v="7"/>
    <n v="4.5999999999999996"/>
    <n v="3.95"/>
  </r>
  <r>
    <x v="505"/>
    <x v="7"/>
    <s v="14:40"/>
    <x v="1"/>
    <s v="Orange Juice"/>
    <s v="Drinks"/>
    <n v="1"/>
    <n v="1.89"/>
    <s v="No"/>
    <n v="7"/>
    <n v="0"/>
    <n v="7"/>
    <n v="2.4"/>
    <n v="1.89"/>
  </r>
  <r>
    <x v="506"/>
    <x v="65"/>
    <s v="18:50"/>
    <x v="3"/>
    <s v="Ice Cream"/>
    <s v="Frozen"/>
    <n v="1"/>
    <n v="3.36"/>
    <s v="Yes"/>
    <n v="58"/>
    <n v="0"/>
    <n v="8"/>
    <n v="4.7"/>
    <n v="3.36"/>
  </r>
  <r>
    <x v="507"/>
    <x v="17"/>
    <s v="13:10"/>
    <x v="5"/>
    <s v="Ice Cream"/>
    <s v="Frozen"/>
    <n v="1"/>
    <n v="3.95"/>
    <s v="No"/>
    <n v="5"/>
    <n v="0"/>
    <n v="8"/>
    <n v="4.0999999999999996"/>
    <n v="3.95"/>
  </r>
  <r>
    <x v="508"/>
    <x v="48"/>
    <s v="14:35"/>
    <x v="5"/>
    <s v="Bananas"/>
    <s v="Fresh Produce"/>
    <n v="2"/>
    <n v="0.95"/>
    <s v="No"/>
    <n v="52"/>
    <n v="2"/>
    <n v="4"/>
    <n v="2.5"/>
    <n v="1.9"/>
  </r>
  <r>
    <x v="509"/>
    <x v="64"/>
    <s v="14:30"/>
    <x v="4"/>
    <s v="Frozen Pizza"/>
    <s v="Frozen"/>
    <n v="1"/>
    <n v="3.49"/>
    <s v="No"/>
    <n v="7"/>
    <n v="0"/>
    <n v="4"/>
    <n v="4.0999999999999996"/>
    <n v="3.49"/>
  </r>
  <r>
    <x v="510"/>
    <x v="90"/>
    <s v="13:50"/>
    <x v="4"/>
    <s v="Cola 2L"/>
    <s v="Drinks"/>
    <n v="2"/>
    <n v="1.75"/>
    <s v="No"/>
    <n v="12"/>
    <n v="1"/>
    <n v="7"/>
    <n v="5.3"/>
    <n v="3.5"/>
  </r>
  <r>
    <x v="511"/>
    <x v="8"/>
    <s v="21:50"/>
    <x v="0"/>
    <s v="Cola 2L"/>
    <s v="Drinks"/>
    <n v="1"/>
    <n v="1.75"/>
    <s v="No"/>
    <n v="22"/>
    <n v="0"/>
    <n v="5"/>
    <n v="3.7"/>
    <n v="1.75"/>
  </r>
  <r>
    <x v="512"/>
    <x v="45"/>
    <s v="14:05"/>
    <x v="1"/>
    <s v="Greek Yogurt"/>
    <s v="Dairy"/>
    <n v="3"/>
    <n v="1.85"/>
    <s v="No"/>
    <n v="33"/>
    <n v="0"/>
    <n v="6"/>
    <n v="2.2000000000000002"/>
    <n v="5.5500000000000007"/>
  </r>
  <r>
    <x v="513"/>
    <x v="53"/>
    <s v="12:25"/>
    <x v="4"/>
    <s v="White Bread"/>
    <s v="Bakery"/>
    <n v="1"/>
    <n v="1.18"/>
    <s v="Yes"/>
    <n v="14"/>
    <n v="0"/>
    <n v="9"/>
    <n v="6.1"/>
    <n v="1.18"/>
  </r>
  <r>
    <x v="514"/>
    <x v="40"/>
    <s v="19:20"/>
    <x v="6"/>
    <s v="Frozen Chips"/>
    <s v="Frozen"/>
    <n v="1"/>
    <n v="2.25"/>
    <s v="No"/>
    <n v="11"/>
    <n v="0"/>
    <n v="6"/>
    <n v="5.5"/>
    <n v="2.25"/>
  </r>
  <r>
    <x v="515"/>
    <x v="20"/>
    <s v="16:05"/>
    <x v="5"/>
    <s v="Apples"/>
    <s v="Fresh Produce"/>
    <n v="4"/>
    <n v="1.79"/>
    <s v="No"/>
    <n v="44"/>
    <n v="0"/>
    <n v="7"/>
    <n v="1.1000000000000001"/>
    <n v="7.16"/>
  </r>
  <r>
    <x v="516"/>
    <x v="77"/>
    <s v="12:55"/>
    <x v="3"/>
    <s v="Frozen Pizza"/>
    <s v="Frozen"/>
    <n v="1"/>
    <n v="3.49"/>
    <s v="No"/>
    <n v="50"/>
    <n v="0"/>
    <n v="7"/>
    <n v="4"/>
    <n v="3.49"/>
  </r>
  <r>
    <x v="517"/>
    <x v="18"/>
    <s v="19:35"/>
    <x v="1"/>
    <s v="Croissants"/>
    <s v="Bakery"/>
    <n v="1"/>
    <n v="1.69"/>
    <s v="Yes"/>
    <n v="49"/>
    <n v="1"/>
    <n v="6"/>
    <n v="5.3"/>
    <n v="1.69"/>
  </r>
  <r>
    <x v="518"/>
    <x v="90"/>
    <s v="18:05"/>
    <x v="4"/>
    <s v="Cheddar Cheese"/>
    <s v="Dairy"/>
    <n v="2"/>
    <n v="2.79"/>
    <s v="No"/>
    <n v="55"/>
    <n v="0"/>
    <n v="9"/>
    <n v="4.0999999999999996"/>
    <n v="5.58"/>
  </r>
  <r>
    <x v="519"/>
    <x v="13"/>
    <s v="12:55"/>
    <x v="6"/>
    <s v="Frozen Pizza"/>
    <s v="Frozen"/>
    <n v="2"/>
    <n v="3.49"/>
    <s v="No"/>
    <n v="38"/>
    <n v="0"/>
    <n v="7"/>
    <n v="4.9000000000000004"/>
    <n v="6.98"/>
  </r>
  <r>
    <x v="520"/>
    <x v="13"/>
    <s v="18:45"/>
    <x v="6"/>
    <s v="Chocolate Cookies"/>
    <s v="Bakery"/>
    <n v="1"/>
    <n v="1.44"/>
    <s v="Yes"/>
    <n v="59"/>
    <n v="2"/>
    <n v="8"/>
    <n v="5.0999999999999996"/>
    <n v="1.44"/>
  </r>
  <r>
    <x v="521"/>
    <x v="67"/>
    <s v="07:45"/>
    <x v="2"/>
    <s v="Greek Yogurt"/>
    <s v="Dairy"/>
    <n v="2"/>
    <n v="1.85"/>
    <s v="No"/>
    <n v="25"/>
    <n v="0"/>
    <n v="4"/>
    <n v="3.4"/>
    <n v="3.7"/>
  </r>
  <r>
    <x v="522"/>
    <x v="85"/>
    <s v="18:35"/>
    <x v="0"/>
    <s v="Milk 2L"/>
    <s v="Dairy"/>
    <n v="1"/>
    <n v="1.55"/>
    <s v="No"/>
    <n v="37"/>
    <n v="0"/>
    <n v="9"/>
    <n v="4.2"/>
    <n v="1.55"/>
  </r>
  <r>
    <x v="523"/>
    <x v="22"/>
    <s v="14:30"/>
    <x v="2"/>
    <s v="Orange Juice"/>
    <s v="Drinks"/>
    <n v="1"/>
    <n v="1.89"/>
    <s v="No"/>
    <n v="20"/>
    <n v="0"/>
    <n v="5"/>
    <n v="3.8"/>
    <n v="1.89"/>
  </r>
  <r>
    <x v="524"/>
    <x v="0"/>
    <s v="19:35"/>
    <x v="0"/>
    <s v="Orange Juice"/>
    <s v="Drinks"/>
    <n v="1"/>
    <n v="1.89"/>
    <s v="No"/>
    <n v="54"/>
    <n v="0"/>
    <n v="8"/>
    <n v="4.3"/>
    <n v="1.89"/>
  </r>
  <r>
    <x v="525"/>
    <x v="52"/>
    <s v="16:10"/>
    <x v="5"/>
    <s v="Cola 2L"/>
    <s v="Drinks"/>
    <n v="1"/>
    <n v="1.75"/>
    <s v="No"/>
    <n v="48"/>
    <n v="0"/>
    <n v="6"/>
    <n v="1.4"/>
    <n v="1.75"/>
  </r>
  <r>
    <x v="526"/>
    <x v="65"/>
    <s v="18:35"/>
    <x v="3"/>
    <s v="Milk 2L"/>
    <s v="Dairy"/>
    <n v="2"/>
    <n v="1.55"/>
    <s v="No"/>
    <n v="35"/>
    <n v="0"/>
    <n v="8"/>
    <n v="5.0999999999999996"/>
    <n v="3.1"/>
  </r>
  <r>
    <x v="527"/>
    <x v="55"/>
    <s v="11:20"/>
    <x v="3"/>
    <s v="White Bread"/>
    <s v="Bakery"/>
    <n v="4"/>
    <n v="1.39"/>
    <s v="No"/>
    <n v="23"/>
    <n v="1"/>
    <n v="7"/>
    <n v="1.4"/>
    <n v="5.56"/>
  </r>
  <r>
    <x v="528"/>
    <x v="46"/>
    <s v="19:40"/>
    <x v="2"/>
    <s v="Orange Juice"/>
    <s v="Drinks"/>
    <n v="1"/>
    <n v="1.89"/>
    <s v="No"/>
    <n v="51"/>
    <n v="0"/>
    <n v="9"/>
    <n v="4.4000000000000004"/>
    <n v="1.89"/>
  </r>
  <r>
    <x v="529"/>
    <x v="78"/>
    <s v="16:25"/>
    <x v="0"/>
    <s v="Chocolate Cookies"/>
    <s v="Bakery"/>
    <n v="1"/>
    <n v="1.69"/>
    <s v="No"/>
    <n v="44"/>
    <n v="0"/>
    <n v="6"/>
    <n v="1.5"/>
    <n v="1.69"/>
  </r>
  <r>
    <x v="530"/>
    <x v="69"/>
    <s v="12:45"/>
    <x v="2"/>
    <s v="Orange Juice"/>
    <s v="Drinks"/>
    <n v="2"/>
    <n v="1.89"/>
    <s v="No"/>
    <n v="45"/>
    <n v="0"/>
    <n v="7"/>
    <n v="5.6"/>
    <n v="3.78"/>
  </r>
  <r>
    <x v="531"/>
    <x v="82"/>
    <s v="09:10"/>
    <x v="0"/>
    <s v="Tomatoes"/>
    <s v="Fresh Produce"/>
    <n v="1"/>
    <n v="1.27"/>
    <s v="Yes"/>
    <n v="14"/>
    <n v="0"/>
    <n v="4"/>
    <n v="2.6"/>
    <n v="1.27"/>
  </r>
  <r>
    <x v="532"/>
    <x v="63"/>
    <s v="18:25"/>
    <x v="6"/>
    <s v="Frozen Pizza"/>
    <s v="Frozen"/>
    <n v="3"/>
    <n v="3.49"/>
    <s v="No"/>
    <n v="13"/>
    <n v="0"/>
    <n v="6"/>
    <n v="4.5999999999999996"/>
    <n v="10.47"/>
  </r>
  <r>
    <x v="533"/>
    <x v="5"/>
    <s v="19:50"/>
    <x v="4"/>
    <s v="Cola 2L"/>
    <s v="Drinks"/>
    <n v="4"/>
    <n v="1.75"/>
    <s v="No"/>
    <n v="54"/>
    <n v="0"/>
    <n v="6"/>
    <n v="4.4000000000000004"/>
    <n v="7"/>
  </r>
  <r>
    <x v="534"/>
    <x v="77"/>
    <s v="16:45"/>
    <x v="3"/>
    <s v="Frozen Pizza"/>
    <s v="Frozen"/>
    <n v="3"/>
    <n v="3.49"/>
    <s v="No"/>
    <n v="3"/>
    <n v="0"/>
    <n v="5"/>
    <n v="4.5999999999999996"/>
    <n v="10.47"/>
  </r>
  <r>
    <x v="535"/>
    <x v="79"/>
    <s v="17:00"/>
    <x v="1"/>
    <s v="Frozen Chips"/>
    <s v="Frozen"/>
    <n v="3"/>
    <n v="2.25"/>
    <s v="No"/>
    <n v="54"/>
    <n v="0"/>
    <n v="6"/>
    <n v="4.9000000000000004"/>
    <n v="6.75"/>
  </r>
  <r>
    <x v="536"/>
    <x v="10"/>
    <s v="14:40"/>
    <x v="3"/>
    <s v="Orange Juice"/>
    <s v="Drinks"/>
    <n v="1"/>
    <n v="1.89"/>
    <s v="No"/>
    <n v="21"/>
    <n v="0"/>
    <n v="6"/>
    <n v="2.7"/>
    <n v="1.89"/>
  </r>
  <r>
    <x v="537"/>
    <x v="65"/>
    <s v="12:25"/>
    <x v="3"/>
    <s v="Orange Juice"/>
    <s v="Drinks"/>
    <n v="1"/>
    <n v="1.89"/>
    <s v="No"/>
    <n v="55"/>
    <n v="0"/>
    <n v="8"/>
    <n v="6.5"/>
    <n v="1.89"/>
  </r>
  <r>
    <x v="538"/>
    <x v="67"/>
    <s v="12:10"/>
    <x v="2"/>
    <s v="White Bread"/>
    <s v="Bakery"/>
    <n v="1"/>
    <n v="1.39"/>
    <s v="No"/>
    <n v="52"/>
    <n v="1"/>
    <n v="8"/>
    <n v="5.4"/>
    <n v="1.39"/>
  </r>
  <r>
    <x v="539"/>
    <x v="21"/>
    <s v="12:35"/>
    <x v="5"/>
    <s v="Apples"/>
    <s v="Fresh Produce"/>
    <n v="1"/>
    <n v="1.79"/>
    <s v="No"/>
    <n v="59"/>
    <n v="0"/>
    <n v="8"/>
    <n v="5.4"/>
    <n v="1.79"/>
  </r>
  <r>
    <x v="540"/>
    <x v="38"/>
    <s v="17:15"/>
    <x v="1"/>
    <s v="Apples"/>
    <s v="Fresh Produce"/>
    <n v="1"/>
    <n v="1.79"/>
    <s v="No"/>
    <n v="32"/>
    <n v="0"/>
    <n v="9"/>
    <n v="4.9000000000000004"/>
    <n v="1.79"/>
  </r>
  <r>
    <x v="541"/>
    <x v="48"/>
    <s v="14:35"/>
    <x v="5"/>
    <s v="Cola 2L"/>
    <s v="Drinks"/>
    <n v="1"/>
    <n v="1.75"/>
    <s v="No"/>
    <n v="44"/>
    <n v="1"/>
    <n v="7"/>
    <n v="1.4"/>
    <n v="1.75"/>
  </r>
  <r>
    <x v="542"/>
    <x v="14"/>
    <s v="20:10"/>
    <x v="3"/>
    <s v="Milk 2L"/>
    <s v="Dairy"/>
    <n v="2"/>
    <n v="1.55"/>
    <s v="No"/>
    <n v="54"/>
    <n v="0"/>
    <n v="5"/>
    <n v="4.9000000000000004"/>
    <n v="3.1"/>
  </r>
  <r>
    <x v="543"/>
    <x v="51"/>
    <s v="12:15"/>
    <x v="5"/>
    <s v="Kitchen Roll"/>
    <s v="Household"/>
    <n v="1"/>
    <n v="2.8"/>
    <s v="Yes"/>
    <n v="5"/>
    <n v="0"/>
    <n v="7"/>
    <n v="4.3"/>
    <n v="2.8"/>
  </r>
  <r>
    <x v="544"/>
    <x v="55"/>
    <s v="12:15"/>
    <x v="3"/>
    <s v="Kitchen Roll"/>
    <s v="Household"/>
    <n v="1"/>
    <n v="3.29"/>
    <s v="No"/>
    <n v="50"/>
    <n v="0"/>
    <n v="9"/>
    <n v="3.5"/>
    <n v="3.29"/>
  </r>
  <r>
    <x v="545"/>
    <x v="84"/>
    <s v="16:40"/>
    <x v="1"/>
    <s v="Milk 2L"/>
    <s v="Dairy"/>
    <n v="1"/>
    <n v="1.55"/>
    <s v="No"/>
    <n v="29"/>
    <n v="0"/>
    <n v="6"/>
    <n v="1.4"/>
    <n v="1.55"/>
  </r>
  <r>
    <x v="546"/>
    <x v="16"/>
    <s v="12:35"/>
    <x v="1"/>
    <s v="Kitchen Roll"/>
    <s v="Household"/>
    <n v="2"/>
    <n v="3.29"/>
    <s v="No"/>
    <n v="40"/>
    <n v="0"/>
    <n v="8"/>
    <n v="4.3"/>
    <n v="6.58"/>
  </r>
  <r>
    <x v="547"/>
    <x v="33"/>
    <s v="17:40"/>
    <x v="2"/>
    <s v="Chocolate Cookies"/>
    <s v="Bakery"/>
    <n v="1"/>
    <n v="1.69"/>
    <s v="No"/>
    <n v="49"/>
    <n v="0"/>
    <n v="9"/>
    <n v="5.6"/>
    <n v="1.69"/>
  </r>
  <r>
    <x v="548"/>
    <x v="75"/>
    <s v="10:50"/>
    <x v="4"/>
    <s v="Greek Yogurt"/>
    <s v="Dairy"/>
    <n v="3"/>
    <n v="1.85"/>
    <s v="No"/>
    <n v="36"/>
    <n v="0"/>
    <n v="6"/>
    <n v="3"/>
    <n v="5.5500000000000007"/>
  </r>
  <r>
    <x v="549"/>
    <x v="90"/>
    <s v="18:00"/>
    <x v="4"/>
    <s v="Chocolate Cookies"/>
    <s v="Bakery"/>
    <n v="1"/>
    <n v="1.69"/>
    <s v="No"/>
    <n v="57"/>
    <n v="0"/>
    <n v="7"/>
    <n v="4.8"/>
    <n v="1.69"/>
  </r>
  <r>
    <x v="550"/>
    <x v="71"/>
    <s v="12:55"/>
    <x v="6"/>
    <s v="Greek Yogurt"/>
    <s v="Dairy"/>
    <n v="1"/>
    <n v="1.57"/>
    <s v="Yes"/>
    <n v="13"/>
    <n v="0"/>
    <n v="8"/>
    <n v="4.8"/>
    <n v="1.57"/>
  </r>
  <r>
    <x v="551"/>
    <x v="74"/>
    <s v="09:25"/>
    <x v="0"/>
    <s v="Cola 2L"/>
    <s v="Drinks"/>
    <n v="1"/>
    <n v="1.49"/>
    <s v="Yes"/>
    <n v="41"/>
    <n v="0"/>
    <n v="7"/>
    <n v="1.9"/>
    <n v="1.49"/>
  </r>
  <r>
    <x v="552"/>
    <x v="79"/>
    <s v="13:50"/>
    <x v="1"/>
    <s v="Tomatoes"/>
    <s v="Fresh Produce"/>
    <n v="2"/>
    <n v="1.27"/>
    <s v="Yes"/>
    <n v="58"/>
    <n v="0"/>
    <n v="6"/>
    <n v="3.8"/>
    <n v="2.54"/>
  </r>
  <r>
    <x v="553"/>
    <x v="76"/>
    <s v="09:25"/>
    <x v="4"/>
    <s v="Greek Yogurt"/>
    <s v="Dairy"/>
    <n v="1"/>
    <n v="1.85"/>
    <s v="No"/>
    <n v="53"/>
    <n v="0"/>
    <n v="4"/>
    <n v="4.5"/>
    <n v="1.85"/>
  </r>
  <r>
    <x v="554"/>
    <x v="31"/>
    <s v="16:50"/>
    <x v="4"/>
    <s v="Frozen Chips"/>
    <s v="Frozen"/>
    <n v="1"/>
    <n v="2.25"/>
    <s v="No"/>
    <n v="46"/>
    <n v="0"/>
    <n v="6"/>
    <n v="2.9"/>
    <n v="2.25"/>
  </r>
  <r>
    <x v="555"/>
    <x v="38"/>
    <s v="18:25"/>
    <x v="1"/>
    <s v="Bottled Water 6pk"/>
    <s v="Drinks"/>
    <n v="2"/>
    <n v="2.4900000000000002"/>
    <s v="No"/>
    <n v="29"/>
    <n v="0"/>
    <n v="9"/>
    <n v="4.2"/>
    <n v="4.9800000000000004"/>
  </r>
  <r>
    <x v="556"/>
    <x v="52"/>
    <s v="12:50"/>
    <x v="5"/>
    <s v="White Bread"/>
    <s v="Bakery"/>
    <n v="3"/>
    <n v="1.39"/>
    <s v="No"/>
    <n v="37"/>
    <n v="0"/>
    <n v="9"/>
    <n v="6.1"/>
    <n v="4.17"/>
  </r>
  <r>
    <x v="557"/>
    <x v="1"/>
    <s v="14:05"/>
    <x v="1"/>
    <s v="Kitchen Roll"/>
    <s v="Household"/>
    <n v="1"/>
    <n v="3.29"/>
    <s v="No"/>
    <n v="15"/>
    <n v="0"/>
    <n v="4"/>
    <n v="3.8"/>
    <n v="3.29"/>
  </r>
  <r>
    <x v="558"/>
    <x v="27"/>
    <s v="14:00"/>
    <x v="3"/>
    <s v="Milk 2L"/>
    <s v="Dairy"/>
    <n v="3"/>
    <n v="1.55"/>
    <s v="No"/>
    <n v="53"/>
    <n v="0"/>
    <n v="4"/>
    <n v="3.3"/>
    <n v="4.6500000000000004"/>
  </r>
  <r>
    <x v="559"/>
    <x v="64"/>
    <s v="19:50"/>
    <x v="4"/>
    <s v="Orange Juice"/>
    <s v="Drinks"/>
    <n v="2"/>
    <n v="1.89"/>
    <s v="No"/>
    <n v="41"/>
    <n v="0"/>
    <n v="8"/>
    <n v="6.9"/>
    <n v="3.78"/>
  </r>
  <r>
    <x v="560"/>
    <x v="35"/>
    <s v="10:35"/>
    <x v="0"/>
    <s v="Cheddar Cheese"/>
    <s v="Dairy"/>
    <n v="1"/>
    <n v="2.37"/>
    <s v="Yes"/>
    <n v="36"/>
    <n v="0"/>
    <n v="5"/>
    <n v="4.7"/>
    <n v="2.37"/>
  </r>
  <r>
    <x v="561"/>
    <x v="80"/>
    <s v="12:55"/>
    <x v="0"/>
    <s v="Cheddar Cheese"/>
    <s v="Dairy"/>
    <n v="2"/>
    <n v="2.37"/>
    <s v="Yes"/>
    <n v="51"/>
    <n v="0"/>
    <n v="6"/>
    <n v="5.9"/>
    <n v="4.74"/>
  </r>
  <r>
    <x v="562"/>
    <x v="73"/>
    <s v="12:00"/>
    <x v="5"/>
    <s v="Frozen Chips"/>
    <s v="Frozen"/>
    <n v="2"/>
    <n v="2.25"/>
    <s v="No"/>
    <n v="15"/>
    <n v="0"/>
    <n v="7"/>
    <n v="3.6"/>
    <n v="4.5"/>
  </r>
  <r>
    <x v="563"/>
    <x v="77"/>
    <s v="16:05"/>
    <x v="3"/>
    <s v="Kitchen Roll"/>
    <s v="Household"/>
    <n v="1"/>
    <n v="2.8"/>
    <s v="Yes"/>
    <n v="9"/>
    <n v="0"/>
    <n v="7"/>
    <n v="1.4"/>
    <n v="2.8"/>
  </r>
  <r>
    <x v="564"/>
    <x v="79"/>
    <s v="13:20"/>
    <x v="1"/>
    <s v="Frozen Pizza"/>
    <s v="Frozen"/>
    <n v="1"/>
    <n v="3.49"/>
    <s v="No"/>
    <n v="33"/>
    <n v="0"/>
    <n v="9"/>
    <n v="4.4000000000000004"/>
    <n v="3.49"/>
  </r>
  <r>
    <x v="565"/>
    <x v="84"/>
    <s v="13:25"/>
    <x v="1"/>
    <s v="Cola 2L"/>
    <s v="Drinks"/>
    <n v="1"/>
    <n v="1.75"/>
    <s v="No"/>
    <n v="3"/>
    <n v="0"/>
    <n v="7"/>
    <n v="4.3"/>
    <n v="1.75"/>
  </r>
  <r>
    <x v="566"/>
    <x v="60"/>
    <s v="19:15"/>
    <x v="4"/>
    <s v="Greek Yogurt"/>
    <s v="Dairy"/>
    <n v="3"/>
    <n v="1.85"/>
    <s v="No"/>
    <n v="29"/>
    <n v="0"/>
    <n v="9"/>
    <n v="4.3"/>
    <n v="5.5500000000000007"/>
  </r>
  <r>
    <x v="567"/>
    <x v="74"/>
    <s v="18:55"/>
    <x v="0"/>
    <s v="Croissants"/>
    <s v="Bakery"/>
    <n v="1"/>
    <n v="1.69"/>
    <s v="Yes"/>
    <n v="55"/>
    <n v="0"/>
    <n v="9"/>
    <n v="3.3"/>
    <n v="1.69"/>
  </r>
  <r>
    <x v="568"/>
    <x v="9"/>
    <s v="14:45"/>
    <x v="0"/>
    <s v="Cola 2L"/>
    <s v="Drinks"/>
    <n v="2"/>
    <n v="1.49"/>
    <s v="Yes"/>
    <n v="41"/>
    <n v="0"/>
    <n v="4"/>
    <n v="3.7"/>
    <n v="2.98"/>
  </r>
  <r>
    <x v="569"/>
    <x v="86"/>
    <s v="18:40"/>
    <x v="6"/>
    <s v="Ice Cream"/>
    <s v="Frozen"/>
    <n v="1"/>
    <n v="3.36"/>
    <s v="Yes"/>
    <n v="15"/>
    <n v="0"/>
    <n v="8"/>
    <n v="6.9"/>
    <n v="3.36"/>
  </r>
  <r>
    <x v="570"/>
    <x v="3"/>
    <s v="18:15"/>
    <x v="3"/>
    <s v="Washing Liquid"/>
    <s v="Household"/>
    <n v="2"/>
    <n v="3.99"/>
    <s v="No"/>
    <n v="55"/>
    <n v="0"/>
    <n v="6"/>
    <n v="4.3"/>
    <n v="7.98"/>
  </r>
  <r>
    <x v="571"/>
    <x v="36"/>
    <s v="16:25"/>
    <x v="2"/>
    <s v="Tomatoes"/>
    <s v="Fresh Produce"/>
    <n v="1"/>
    <n v="1.27"/>
    <s v="Yes"/>
    <n v="10"/>
    <n v="0"/>
    <n v="4"/>
    <n v="3.8"/>
    <n v="1.27"/>
  </r>
  <r>
    <x v="572"/>
    <x v="7"/>
    <s v="17:45"/>
    <x v="1"/>
    <s v="Frozen Chips"/>
    <s v="Frozen"/>
    <n v="1"/>
    <n v="2.25"/>
    <s v="No"/>
    <n v="26"/>
    <n v="0"/>
    <n v="9"/>
    <n v="6.3"/>
    <n v="2.25"/>
  </r>
  <r>
    <x v="573"/>
    <x v="20"/>
    <s v="19:55"/>
    <x v="5"/>
    <s v="Apples"/>
    <s v="Fresh Produce"/>
    <n v="2"/>
    <n v="1.79"/>
    <s v="No"/>
    <n v="51"/>
    <n v="0"/>
    <n v="7"/>
    <n v="3.1"/>
    <n v="3.58"/>
  </r>
  <r>
    <x v="574"/>
    <x v="50"/>
    <s v="12:40"/>
    <x v="3"/>
    <s v="Frozen Pizza"/>
    <s v="Frozen"/>
    <n v="1"/>
    <n v="3.49"/>
    <s v="No"/>
    <n v="6"/>
    <n v="0"/>
    <n v="8"/>
    <n v="4.2"/>
    <n v="3.49"/>
  </r>
  <r>
    <x v="575"/>
    <x v="7"/>
    <s v="17:10"/>
    <x v="1"/>
    <s v="Croissants"/>
    <s v="Bakery"/>
    <n v="4"/>
    <n v="1.99"/>
    <s v="No"/>
    <n v="16"/>
    <n v="0"/>
    <n v="9"/>
    <n v="4.0999999999999996"/>
    <n v="7.96"/>
  </r>
  <r>
    <x v="576"/>
    <x v="43"/>
    <s v="16:35"/>
    <x v="6"/>
    <s v="Washing Liquid"/>
    <s v="Household"/>
    <n v="1"/>
    <n v="3.39"/>
    <s v="Yes"/>
    <n v="6"/>
    <n v="0"/>
    <n v="6"/>
    <n v="1.2"/>
    <n v="3.39"/>
  </r>
  <r>
    <x v="577"/>
    <x v="32"/>
    <s v="18:00"/>
    <x v="1"/>
    <s v="Chocolate Cookies"/>
    <s v="Bakery"/>
    <n v="2"/>
    <n v="1.69"/>
    <s v="No"/>
    <n v="24"/>
    <n v="2"/>
    <n v="8"/>
    <n v="2.9"/>
    <n v="3.38"/>
  </r>
  <r>
    <x v="578"/>
    <x v="2"/>
    <s v="14:40"/>
    <x v="2"/>
    <s v="Frozen Chips"/>
    <s v="Frozen"/>
    <n v="1"/>
    <n v="2.25"/>
    <s v="No"/>
    <n v="4"/>
    <n v="0"/>
    <n v="6"/>
    <n v="3"/>
    <n v="2.25"/>
  </r>
  <r>
    <x v="579"/>
    <x v="2"/>
    <s v="17:50"/>
    <x v="2"/>
    <s v="Croissants"/>
    <s v="Bakery"/>
    <n v="2"/>
    <n v="1.99"/>
    <s v="No"/>
    <n v="35"/>
    <n v="0"/>
    <n v="8"/>
    <n v="6.2"/>
    <n v="3.98"/>
  </r>
  <r>
    <x v="580"/>
    <x v="5"/>
    <s v="17:40"/>
    <x v="4"/>
    <s v="Greek Yogurt"/>
    <s v="Dairy"/>
    <n v="2"/>
    <n v="1.57"/>
    <s v="Yes"/>
    <n v="46"/>
    <n v="0"/>
    <n v="8"/>
    <n v="5.2"/>
    <n v="3.14"/>
  </r>
  <r>
    <x v="581"/>
    <x v="15"/>
    <s v="11:10"/>
    <x v="2"/>
    <s v="Bananas"/>
    <s v="Fresh Produce"/>
    <n v="1"/>
    <n v="0.95"/>
    <s v="No"/>
    <n v="34"/>
    <n v="0"/>
    <n v="7"/>
    <n v="2.6"/>
    <n v="0.95"/>
  </r>
  <r>
    <x v="582"/>
    <x v="35"/>
    <s v="16:00"/>
    <x v="0"/>
    <s v="Washing Liquid"/>
    <s v="Household"/>
    <n v="1"/>
    <n v="3.99"/>
    <s v="No"/>
    <n v="12"/>
    <n v="0"/>
    <n v="4"/>
    <n v="4.7"/>
    <n v="3.99"/>
  </r>
  <r>
    <x v="583"/>
    <x v="6"/>
    <s v="12:10"/>
    <x v="3"/>
    <s v="Ice Cream"/>
    <s v="Frozen"/>
    <n v="4"/>
    <n v="3.95"/>
    <s v="No"/>
    <n v="45"/>
    <n v="0"/>
    <n v="8"/>
    <n v="3.6"/>
    <n v="15.8"/>
  </r>
  <r>
    <x v="584"/>
    <x v="53"/>
    <s v="17:40"/>
    <x v="4"/>
    <s v="Tomatoes"/>
    <s v="Fresh Produce"/>
    <n v="2"/>
    <n v="1.49"/>
    <s v="No"/>
    <n v="48"/>
    <n v="0"/>
    <n v="8"/>
    <n v="3.4"/>
    <n v="2.98"/>
  </r>
  <r>
    <x v="585"/>
    <x v="55"/>
    <s v="18:05"/>
    <x v="3"/>
    <s v="Frozen Pizza"/>
    <s v="Frozen"/>
    <n v="3"/>
    <n v="3.49"/>
    <s v="No"/>
    <n v="42"/>
    <n v="0"/>
    <n v="7"/>
    <n v="5.4"/>
    <n v="10.47"/>
  </r>
  <r>
    <x v="586"/>
    <x v="68"/>
    <s v="16:35"/>
    <x v="1"/>
    <s v="Ice Cream"/>
    <s v="Frozen"/>
    <n v="2"/>
    <n v="3.95"/>
    <s v="No"/>
    <n v="21"/>
    <n v="0"/>
    <n v="7"/>
    <n v="2.6"/>
    <n v="7.9"/>
  </r>
  <r>
    <x v="587"/>
    <x v="31"/>
    <s v="14:50"/>
    <x v="4"/>
    <s v="Frozen Pizza"/>
    <s v="Frozen"/>
    <n v="4"/>
    <n v="3.49"/>
    <s v="No"/>
    <n v="50"/>
    <n v="0"/>
    <n v="5"/>
    <n v="2.7"/>
    <n v="13.96"/>
  </r>
  <r>
    <x v="588"/>
    <x v="60"/>
    <s v="17:35"/>
    <x v="4"/>
    <s v="White Bread"/>
    <s v="Bakery"/>
    <n v="2"/>
    <n v="1.39"/>
    <s v="No"/>
    <n v="50"/>
    <n v="1"/>
    <n v="9"/>
    <n v="3.5"/>
    <n v="2.78"/>
  </r>
  <r>
    <x v="589"/>
    <x v="72"/>
    <s v="17:25"/>
    <x v="3"/>
    <s v="Croissants"/>
    <s v="Bakery"/>
    <n v="1"/>
    <n v="1.69"/>
    <s v="Yes"/>
    <n v="39"/>
    <n v="0"/>
    <n v="6"/>
    <n v="5.9"/>
    <n v="1.69"/>
  </r>
  <r>
    <x v="590"/>
    <x v="58"/>
    <s v="12:05"/>
    <x v="3"/>
    <s v="Orange Juice"/>
    <s v="Drinks"/>
    <n v="1"/>
    <n v="1.89"/>
    <s v="No"/>
    <n v="28"/>
    <n v="0"/>
    <n v="7"/>
    <n v="6.6"/>
    <n v="1.89"/>
  </r>
  <r>
    <x v="591"/>
    <x v="51"/>
    <s v="18:15"/>
    <x v="5"/>
    <s v="Apples"/>
    <s v="Fresh Produce"/>
    <n v="3"/>
    <n v="1.79"/>
    <s v="No"/>
    <n v="41"/>
    <n v="0"/>
    <n v="6"/>
    <n v="5.6"/>
    <n v="5.37"/>
  </r>
  <r>
    <x v="592"/>
    <x v="0"/>
    <s v="16:10"/>
    <x v="0"/>
    <s v="Milk 2L"/>
    <s v="Dairy"/>
    <n v="1"/>
    <n v="1.55"/>
    <s v="No"/>
    <n v="54"/>
    <n v="0"/>
    <n v="5"/>
    <n v="3.9"/>
    <n v="1.55"/>
  </r>
  <r>
    <x v="593"/>
    <x v="52"/>
    <s v="16:35"/>
    <x v="5"/>
    <s v="Milk 2L"/>
    <s v="Dairy"/>
    <n v="1"/>
    <n v="1.32"/>
    <s v="Yes"/>
    <n v="13"/>
    <n v="0"/>
    <n v="7"/>
    <n v="2.6"/>
    <n v="1.32"/>
  </r>
  <r>
    <x v="594"/>
    <x v="55"/>
    <s v="16:50"/>
    <x v="3"/>
    <s v="Orange Juice"/>
    <s v="Drinks"/>
    <n v="1"/>
    <n v="1.61"/>
    <s v="Yes"/>
    <n v="12"/>
    <n v="0"/>
    <n v="7"/>
    <n v="2.4"/>
    <n v="1.61"/>
  </r>
  <r>
    <x v="595"/>
    <x v="74"/>
    <s v="10:40"/>
    <x v="0"/>
    <s v="Bananas"/>
    <s v="Fresh Produce"/>
    <n v="1"/>
    <n v="0.81"/>
    <s v="Yes"/>
    <n v="54"/>
    <n v="0"/>
    <n v="6"/>
    <n v="1.7"/>
    <n v="0.81"/>
  </r>
  <r>
    <x v="596"/>
    <x v="35"/>
    <s v="16:25"/>
    <x v="0"/>
    <s v="Cola 2L"/>
    <s v="Drinks"/>
    <n v="1"/>
    <n v="1.49"/>
    <s v="Yes"/>
    <n v="53"/>
    <n v="0"/>
    <n v="6"/>
    <n v="1.6"/>
    <n v="1.49"/>
  </r>
  <r>
    <x v="597"/>
    <x v="11"/>
    <s v="14:00"/>
    <x v="1"/>
    <s v="Tomatoes"/>
    <s v="Fresh Produce"/>
    <n v="2"/>
    <n v="1.49"/>
    <s v="No"/>
    <n v="40"/>
    <n v="2"/>
    <n v="6"/>
    <n v="2.8"/>
    <n v="2.98"/>
  </r>
  <r>
    <x v="598"/>
    <x v="19"/>
    <s v="14:00"/>
    <x v="6"/>
    <s v="Frozen Chips"/>
    <s v="Frozen"/>
    <n v="2"/>
    <n v="2.25"/>
    <s v="No"/>
    <n v="25"/>
    <n v="0"/>
    <n v="5"/>
    <n v="4.5"/>
    <n v="4.5"/>
  </r>
  <r>
    <x v="599"/>
    <x v="32"/>
    <s v="13:35"/>
    <x v="1"/>
    <s v="Frozen Pizza"/>
    <s v="Frozen"/>
    <n v="3"/>
    <n v="2.97"/>
    <s v="Yes"/>
    <n v="10"/>
    <n v="0"/>
    <n v="6"/>
    <n v="4.8"/>
    <n v="8.91"/>
  </r>
  <r>
    <x v="600"/>
    <x v="33"/>
    <s v="12:10"/>
    <x v="2"/>
    <s v="Milk 2L"/>
    <s v="Dairy"/>
    <n v="2"/>
    <n v="1.55"/>
    <s v="No"/>
    <n v="21"/>
    <n v="0"/>
    <n v="9"/>
    <n v="4.7"/>
    <n v="3.1"/>
  </r>
  <r>
    <x v="601"/>
    <x v="37"/>
    <s v="12:10"/>
    <x v="4"/>
    <s v="Ice Cream"/>
    <s v="Frozen"/>
    <n v="1"/>
    <n v="3.95"/>
    <s v="No"/>
    <n v="48"/>
    <n v="0"/>
    <n v="6"/>
    <n v="4.5999999999999996"/>
    <n v="3.95"/>
  </r>
  <r>
    <x v="602"/>
    <x v="74"/>
    <s v="10:25"/>
    <x v="0"/>
    <s v="Washing Liquid"/>
    <s v="Household"/>
    <n v="2"/>
    <n v="3.99"/>
    <s v="No"/>
    <n v="36"/>
    <n v="0"/>
    <n v="7"/>
    <n v="2.7"/>
    <n v="7.98"/>
  </r>
  <r>
    <x v="603"/>
    <x v="47"/>
    <s v="17:40"/>
    <x v="4"/>
    <s v="Bin Bags"/>
    <s v="Household"/>
    <n v="1"/>
    <n v="2.29"/>
    <s v="Yes"/>
    <n v="44"/>
    <n v="0"/>
    <n v="9"/>
    <n v="3.8"/>
    <n v="2.29"/>
  </r>
  <r>
    <x v="604"/>
    <x v="31"/>
    <s v="17:55"/>
    <x v="4"/>
    <s v="Cola 2L"/>
    <s v="Drinks"/>
    <n v="4"/>
    <n v="1.75"/>
    <s v="No"/>
    <n v="41"/>
    <n v="0"/>
    <n v="6"/>
    <n v="5"/>
    <n v="7"/>
  </r>
  <r>
    <x v="605"/>
    <x v="0"/>
    <s v="14:10"/>
    <x v="0"/>
    <s v="Cola 2L"/>
    <s v="Drinks"/>
    <n v="2"/>
    <n v="1.75"/>
    <s v="No"/>
    <n v="43"/>
    <n v="0"/>
    <n v="5"/>
    <n v="3.1"/>
    <n v="3.5"/>
  </r>
  <r>
    <x v="606"/>
    <x v="47"/>
    <s v="09:25"/>
    <x v="4"/>
    <s v="Ice Cream"/>
    <s v="Frozen"/>
    <n v="1"/>
    <n v="3.95"/>
    <s v="No"/>
    <n v="33"/>
    <n v="1"/>
    <n v="6"/>
    <n v="1.8"/>
    <n v="3.95"/>
  </r>
  <r>
    <x v="607"/>
    <x v="13"/>
    <s v="17:50"/>
    <x v="6"/>
    <s v="Cola 2L"/>
    <s v="Drinks"/>
    <n v="1"/>
    <n v="1.75"/>
    <s v="No"/>
    <n v="39"/>
    <n v="1"/>
    <n v="7"/>
    <n v="3.9"/>
    <n v="1.75"/>
  </r>
  <r>
    <x v="608"/>
    <x v="82"/>
    <s v="19:20"/>
    <x v="0"/>
    <s v="Milk 2L"/>
    <s v="Dairy"/>
    <n v="1"/>
    <n v="1.32"/>
    <s v="Yes"/>
    <n v="10"/>
    <n v="0"/>
    <n v="8"/>
    <n v="4.8"/>
    <n v="1.32"/>
  </r>
  <r>
    <x v="609"/>
    <x v="15"/>
    <s v="17:40"/>
    <x v="2"/>
    <s v="Greek Yogurt"/>
    <s v="Dairy"/>
    <n v="1"/>
    <n v="1.85"/>
    <s v="No"/>
    <n v="18"/>
    <n v="0"/>
    <n v="7"/>
    <n v="4.5999999999999996"/>
    <n v="1.85"/>
  </r>
  <r>
    <x v="610"/>
    <x v="89"/>
    <s v="12:30"/>
    <x v="2"/>
    <s v="Washing Liquid"/>
    <s v="Household"/>
    <n v="1"/>
    <n v="3.99"/>
    <s v="No"/>
    <n v="6"/>
    <n v="0"/>
    <n v="6"/>
    <n v="5.0999999999999996"/>
    <n v="3.99"/>
  </r>
  <r>
    <x v="611"/>
    <x v="32"/>
    <s v="13:10"/>
    <x v="1"/>
    <s v="Orange Juice"/>
    <s v="Drinks"/>
    <n v="2"/>
    <n v="1.89"/>
    <s v="No"/>
    <n v="4"/>
    <n v="0"/>
    <n v="6"/>
    <n v="4.2"/>
    <n v="3.78"/>
  </r>
  <r>
    <x v="612"/>
    <x v="28"/>
    <s v="18:25"/>
    <x v="0"/>
    <s v="Frozen Pizza"/>
    <s v="Frozen"/>
    <n v="1"/>
    <n v="3.49"/>
    <s v="No"/>
    <n v="16"/>
    <n v="0"/>
    <n v="9"/>
    <n v="4.4000000000000004"/>
    <n v="3.49"/>
  </r>
  <r>
    <x v="613"/>
    <x v="72"/>
    <s v="09:55"/>
    <x v="3"/>
    <s v="Bottled Water 6pk"/>
    <s v="Drinks"/>
    <n v="1"/>
    <n v="2.4900000000000002"/>
    <s v="No"/>
    <n v="40"/>
    <n v="0"/>
    <n v="5"/>
    <n v="3.7"/>
    <n v="2.4900000000000002"/>
  </r>
  <r>
    <x v="614"/>
    <x v="18"/>
    <s v="09:15"/>
    <x v="1"/>
    <s v="Cheddar Cheese"/>
    <s v="Dairy"/>
    <n v="2"/>
    <n v="2.79"/>
    <s v="No"/>
    <n v="25"/>
    <n v="1"/>
    <n v="6"/>
    <n v="2.4"/>
    <n v="5.58"/>
  </r>
  <r>
    <x v="615"/>
    <x v="20"/>
    <s v="14:50"/>
    <x v="5"/>
    <s v="Kitchen Roll"/>
    <s v="Household"/>
    <n v="1"/>
    <n v="3.29"/>
    <s v="No"/>
    <n v="8"/>
    <n v="0"/>
    <n v="5"/>
    <n v="4.5"/>
    <n v="3.29"/>
  </r>
  <r>
    <x v="616"/>
    <x v="7"/>
    <s v="16:10"/>
    <x v="1"/>
    <s v="Tomatoes"/>
    <s v="Fresh Produce"/>
    <n v="1"/>
    <n v="1.49"/>
    <s v="No"/>
    <n v="59"/>
    <n v="2"/>
    <n v="6"/>
    <n v="2.4"/>
    <n v="1.49"/>
  </r>
  <r>
    <x v="617"/>
    <x v="2"/>
    <s v="20:35"/>
    <x v="2"/>
    <s v="Kitchen Roll"/>
    <s v="Household"/>
    <n v="1"/>
    <n v="3.29"/>
    <s v="No"/>
    <n v="55"/>
    <n v="0"/>
    <n v="5"/>
    <n v="3.3"/>
    <n v="3.29"/>
  </r>
  <r>
    <x v="618"/>
    <x v="11"/>
    <s v="20:30"/>
    <x v="1"/>
    <s v="Bananas"/>
    <s v="Fresh Produce"/>
    <n v="2"/>
    <n v="0.81"/>
    <s v="Yes"/>
    <n v="41"/>
    <n v="0"/>
    <n v="4"/>
    <n v="4"/>
    <n v="1.62"/>
  </r>
  <r>
    <x v="619"/>
    <x v="85"/>
    <s v="15:25"/>
    <x v="0"/>
    <s v="Cola 2L"/>
    <s v="Drinks"/>
    <n v="3"/>
    <n v="1.75"/>
    <s v="No"/>
    <n v="25"/>
    <n v="0"/>
    <n v="5"/>
    <n v="3.1"/>
    <n v="5.25"/>
  </r>
  <r>
    <x v="620"/>
    <x v="75"/>
    <s v="14:05"/>
    <x v="4"/>
    <s v="Greek Yogurt"/>
    <s v="Dairy"/>
    <n v="2"/>
    <n v="1.85"/>
    <s v="No"/>
    <n v="56"/>
    <n v="0"/>
    <n v="4"/>
    <n v="4.3"/>
    <n v="3.7"/>
  </r>
  <r>
    <x v="621"/>
    <x v="16"/>
    <s v="20:05"/>
    <x v="1"/>
    <s v="Frozen Chips"/>
    <s v="Frozen"/>
    <n v="1"/>
    <n v="2.25"/>
    <s v="No"/>
    <n v="16"/>
    <n v="0"/>
    <n v="6"/>
    <n v="2"/>
    <n v="2.25"/>
  </r>
  <r>
    <x v="622"/>
    <x v="16"/>
    <s v="08:25"/>
    <x v="1"/>
    <s v="Cola 2L"/>
    <s v="Drinks"/>
    <n v="1"/>
    <n v="1.75"/>
    <s v="No"/>
    <n v="24"/>
    <n v="0"/>
    <n v="6"/>
    <n v="2"/>
    <n v="1.75"/>
  </r>
  <r>
    <x v="623"/>
    <x v="62"/>
    <s v="18:25"/>
    <x v="2"/>
    <s v="Bin Bags"/>
    <s v="Household"/>
    <n v="2"/>
    <n v="2.69"/>
    <s v="No"/>
    <n v="4"/>
    <n v="0"/>
    <n v="8"/>
    <n v="5.9"/>
    <n v="5.38"/>
  </r>
  <r>
    <x v="624"/>
    <x v="41"/>
    <s v="12:40"/>
    <x v="5"/>
    <s v="Bananas"/>
    <s v="Fresh Produce"/>
    <n v="1"/>
    <n v="0.95"/>
    <s v="No"/>
    <n v="4"/>
    <n v="2"/>
    <n v="6"/>
    <n v="4.0999999999999996"/>
    <n v="0.95"/>
  </r>
  <r>
    <x v="625"/>
    <x v="49"/>
    <s v="13:45"/>
    <x v="6"/>
    <s v="Bananas"/>
    <s v="Fresh Produce"/>
    <n v="1"/>
    <n v="0.95"/>
    <s v="No"/>
    <n v="12"/>
    <n v="1"/>
    <n v="8"/>
    <n v="4"/>
    <n v="0.95"/>
  </r>
  <r>
    <x v="626"/>
    <x v="40"/>
    <s v="21:50"/>
    <x v="6"/>
    <s v="Bottled Water 6pk"/>
    <s v="Drinks"/>
    <n v="1"/>
    <n v="2.4900000000000002"/>
    <s v="No"/>
    <n v="50"/>
    <n v="0"/>
    <n v="7"/>
    <n v="1.5"/>
    <n v="2.4900000000000002"/>
  </r>
  <r>
    <x v="627"/>
    <x v="89"/>
    <s v="16:15"/>
    <x v="2"/>
    <s v="Tomatoes"/>
    <s v="Fresh Produce"/>
    <n v="1"/>
    <n v="1.49"/>
    <s v="No"/>
    <n v="58"/>
    <n v="0"/>
    <n v="5"/>
    <n v="3.1"/>
    <n v="1.49"/>
  </r>
  <r>
    <x v="628"/>
    <x v="33"/>
    <s v="16:40"/>
    <x v="2"/>
    <s v="Bin Bags"/>
    <s v="Household"/>
    <n v="2"/>
    <n v="2.69"/>
    <s v="No"/>
    <n v="12"/>
    <n v="0"/>
    <n v="6"/>
    <n v="1.1000000000000001"/>
    <n v="5.38"/>
  </r>
  <r>
    <x v="629"/>
    <x v="2"/>
    <s v="15:15"/>
    <x v="2"/>
    <s v="Croissants"/>
    <s v="Bakery"/>
    <n v="1"/>
    <n v="1.99"/>
    <s v="No"/>
    <n v="18"/>
    <n v="0"/>
    <n v="4"/>
    <n v="3.4"/>
    <n v="1.99"/>
  </r>
  <r>
    <x v="630"/>
    <x v="40"/>
    <s v="15:50"/>
    <x v="6"/>
    <s v="Tomatoes"/>
    <s v="Fresh Produce"/>
    <n v="1"/>
    <n v="1.49"/>
    <s v="No"/>
    <n v="6"/>
    <n v="0"/>
    <n v="5"/>
    <n v="3.5"/>
    <n v="1.49"/>
  </r>
  <r>
    <x v="631"/>
    <x v="36"/>
    <s v="18:30"/>
    <x v="2"/>
    <s v="Apples"/>
    <s v="Fresh Produce"/>
    <n v="2"/>
    <n v="1.52"/>
    <s v="Yes"/>
    <n v="36"/>
    <n v="0"/>
    <n v="8"/>
    <n v="3.9"/>
    <n v="3.04"/>
  </r>
  <r>
    <x v="632"/>
    <x v="2"/>
    <s v="13:45"/>
    <x v="2"/>
    <s v="Croissants"/>
    <s v="Bakery"/>
    <n v="1"/>
    <n v="1.99"/>
    <s v="No"/>
    <n v="6"/>
    <n v="2"/>
    <n v="9"/>
    <n v="5.0999999999999996"/>
    <n v="1.99"/>
  </r>
  <r>
    <x v="633"/>
    <x v="7"/>
    <s v="19:05"/>
    <x v="1"/>
    <s v="Kitchen Roll"/>
    <s v="Household"/>
    <n v="1"/>
    <n v="3.29"/>
    <s v="No"/>
    <n v="36"/>
    <n v="0"/>
    <n v="8"/>
    <n v="5"/>
    <n v="3.29"/>
  </r>
  <r>
    <x v="634"/>
    <x v="25"/>
    <s v="16:15"/>
    <x v="5"/>
    <s v="Cola 2L"/>
    <s v="Drinks"/>
    <n v="1"/>
    <n v="1.75"/>
    <s v="No"/>
    <n v="12"/>
    <n v="0"/>
    <n v="5"/>
    <n v="3.9"/>
    <n v="1.75"/>
  </r>
  <r>
    <x v="635"/>
    <x v="49"/>
    <s v="12:40"/>
    <x v="6"/>
    <s v="Croissants"/>
    <s v="Bakery"/>
    <n v="2"/>
    <n v="1.69"/>
    <s v="Yes"/>
    <n v="14"/>
    <n v="0"/>
    <n v="7"/>
    <n v="3.6"/>
    <n v="3.38"/>
  </r>
  <r>
    <x v="636"/>
    <x v="67"/>
    <s v="18:30"/>
    <x v="2"/>
    <s v="Cheddar Cheese"/>
    <s v="Dairy"/>
    <n v="3"/>
    <n v="2.37"/>
    <s v="Yes"/>
    <n v="41"/>
    <n v="1"/>
    <n v="6"/>
    <n v="3.5"/>
    <n v="7.11"/>
  </r>
  <r>
    <x v="637"/>
    <x v="23"/>
    <s v="13:05"/>
    <x v="2"/>
    <s v="Apples"/>
    <s v="Fresh Produce"/>
    <n v="2"/>
    <n v="1.79"/>
    <s v="No"/>
    <n v="50"/>
    <n v="1"/>
    <n v="7"/>
    <n v="5.6"/>
    <n v="3.58"/>
  </r>
  <r>
    <x v="638"/>
    <x v="47"/>
    <s v="19:25"/>
    <x v="4"/>
    <s v="Bottled Water 6pk"/>
    <s v="Drinks"/>
    <n v="1"/>
    <n v="2.4900000000000002"/>
    <s v="No"/>
    <n v="33"/>
    <n v="0"/>
    <n v="9"/>
    <n v="5.2"/>
    <n v="2.4900000000000002"/>
  </r>
  <r>
    <x v="639"/>
    <x v="86"/>
    <s v="15:55"/>
    <x v="6"/>
    <s v="Frozen Pizza"/>
    <s v="Frozen"/>
    <n v="2"/>
    <n v="3.49"/>
    <s v="No"/>
    <n v="53"/>
    <n v="0"/>
    <n v="5"/>
    <n v="3.3"/>
    <n v="6.98"/>
  </r>
  <r>
    <x v="640"/>
    <x v="5"/>
    <s v="18:25"/>
    <x v="4"/>
    <s v="Frozen Chips"/>
    <s v="Frozen"/>
    <n v="1"/>
    <n v="2.25"/>
    <s v="No"/>
    <n v="20"/>
    <n v="0"/>
    <n v="9"/>
    <n v="3.4"/>
    <n v="2.25"/>
  </r>
  <r>
    <x v="641"/>
    <x v="81"/>
    <s v="16:30"/>
    <x v="1"/>
    <s v="Orange Juice"/>
    <s v="Drinks"/>
    <n v="1"/>
    <n v="1.61"/>
    <s v="Yes"/>
    <n v="30"/>
    <n v="0"/>
    <n v="4"/>
    <n v="4.5999999999999996"/>
    <n v="1.61"/>
  </r>
  <r>
    <x v="642"/>
    <x v="43"/>
    <s v="14:20"/>
    <x v="6"/>
    <s v="Apples"/>
    <s v="Fresh Produce"/>
    <n v="2"/>
    <n v="1.52"/>
    <s v="Yes"/>
    <n v="55"/>
    <n v="0"/>
    <n v="5"/>
    <n v="2.9"/>
    <n v="3.04"/>
  </r>
  <r>
    <x v="643"/>
    <x v="17"/>
    <s v="20:20"/>
    <x v="5"/>
    <s v="Bananas"/>
    <s v="Fresh Produce"/>
    <n v="1"/>
    <n v="0.95"/>
    <s v="No"/>
    <n v="40"/>
    <n v="0"/>
    <n v="5"/>
    <n v="3.7"/>
    <n v="0.95"/>
  </r>
  <r>
    <x v="644"/>
    <x v="31"/>
    <s v="13:05"/>
    <x v="4"/>
    <s v="Orange Juice"/>
    <s v="Drinks"/>
    <n v="1"/>
    <n v="1.89"/>
    <s v="No"/>
    <n v="22"/>
    <n v="0"/>
    <n v="6"/>
    <n v="4.4000000000000004"/>
    <n v="1.89"/>
  </r>
  <r>
    <x v="645"/>
    <x v="74"/>
    <s v="16:00"/>
    <x v="0"/>
    <s v="White Bread"/>
    <s v="Bakery"/>
    <n v="2"/>
    <n v="1.39"/>
    <s v="No"/>
    <n v="19"/>
    <n v="0"/>
    <n v="4"/>
    <n v="4.2"/>
    <n v="2.78"/>
  </r>
  <r>
    <x v="646"/>
    <x v="15"/>
    <s v="18:35"/>
    <x v="2"/>
    <s v="Ice Cream"/>
    <s v="Frozen"/>
    <n v="1"/>
    <n v="3.95"/>
    <s v="No"/>
    <n v="55"/>
    <n v="0"/>
    <n v="7"/>
    <n v="3.8"/>
    <n v="3.95"/>
  </r>
  <r>
    <x v="647"/>
    <x v="83"/>
    <s v="19:50"/>
    <x v="6"/>
    <s v="Greek Yogurt"/>
    <s v="Dairy"/>
    <n v="1"/>
    <n v="1.85"/>
    <s v="No"/>
    <n v="12"/>
    <n v="0"/>
    <n v="6"/>
    <n v="4"/>
    <n v="1.85"/>
  </r>
  <r>
    <x v="648"/>
    <x v="79"/>
    <s v="17:50"/>
    <x v="1"/>
    <s v="Orange Juice"/>
    <s v="Drinks"/>
    <n v="2"/>
    <n v="1.61"/>
    <s v="Yes"/>
    <n v="60"/>
    <n v="0"/>
    <n v="6"/>
    <n v="4.5"/>
    <n v="3.22"/>
  </r>
  <r>
    <x v="649"/>
    <x v="78"/>
    <s v="11:20"/>
    <x v="0"/>
    <s v="Ice Cream"/>
    <s v="Frozen"/>
    <n v="2"/>
    <n v="3.95"/>
    <s v="No"/>
    <n v="16"/>
    <n v="0"/>
    <n v="4"/>
    <n v="3.9"/>
    <n v="7.9"/>
  </r>
  <r>
    <x v="650"/>
    <x v="89"/>
    <s v="21:40"/>
    <x v="2"/>
    <s v="Tomatoes"/>
    <s v="Fresh Produce"/>
    <n v="1"/>
    <n v="1.49"/>
    <s v="No"/>
    <n v="36"/>
    <n v="0"/>
    <n v="7"/>
    <n v="1.3"/>
    <n v="1.49"/>
  </r>
  <r>
    <x v="651"/>
    <x v="90"/>
    <s v="09:10"/>
    <x v="4"/>
    <s v="Washing Liquid"/>
    <s v="Household"/>
    <n v="2"/>
    <n v="3.99"/>
    <s v="No"/>
    <n v="22"/>
    <n v="0"/>
    <n v="5"/>
    <n v="3.7"/>
    <n v="7.98"/>
  </r>
  <r>
    <x v="652"/>
    <x v="72"/>
    <s v="12:30"/>
    <x v="3"/>
    <s v="Bananas"/>
    <s v="Fresh Produce"/>
    <n v="1"/>
    <n v="0.81"/>
    <s v="Yes"/>
    <n v="37"/>
    <n v="0"/>
    <n v="9"/>
    <n v="5"/>
    <n v="0.81"/>
  </r>
  <r>
    <x v="653"/>
    <x v="20"/>
    <s v="12:55"/>
    <x v="5"/>
    <s v="Orange Juice"/>
    <s v="Drinks"/>
    <n v="1"/>
    <n v="1.89"/>
    <s v="No"/>
    <n v="33"/>
    <n v="0"/>
    <n v="9"/>
    <n v="4.7"/>
    <n v="1.89"/>
  </r>
  <r>
    <x v="654"/>
    <x v="56"/>
    <s v="19:15"/>
    <x v="5"/>
    <s v="Ice Cream"/>
    <s v="Frozen"/>
    <n v="1"/>
    <n v="3.95"/>
    <s v="No"/>
    <n v="7"/>
    <n v="0"/>
    <n v="6"/>
    <n v="4.4000000000000004"/>
    <n v="3.95"/>
  </r>
  <r>
    <x v="655"/>
    <x v="45"/>
    <s v="07:10"/>
    <x v="1"/>
    <s v="Cheddar Cheese"/>
    <s v="Dairy"/>
    <n v="2"/>
    <n v="2.79"/>
    <s v="No"/>
    <n v="47"/>
    <n v="0"/>
    <n v="6"/>
    <n v="1.8"/>
    <n v="5.58"/>
  </r>
  <r>
    <x v="656"/>
    <x v="0"/>
    <s v="10:35"/>
    <x v="0"/>
    <s v="Orange Juice"/>
    <s v="Drinks"/>
    <n v="1"/>
    <n v="1.89"/>
    <s v="No"/>
    <n v="37"/>
    <n v="0"/>
    <n v="7"/>
    <n v="1.2"/>
    <n v="1.89"/>
  </r>
  <r>
    <x v="657"/>
    <x v="47"/>
    <s v="18:00"/>
    <x v="4"/>
    <s v="Bottled Water 6pk"/>
    <s v="Drinks"/>
    <n v="2"/>
    <n v="2.4900000000000002"/>
    <s v="No"/>
    <n v="5"/>
    <n v="0"/>
    <n v="6"/>
    <n v="5.2"/>
    <n v="4.9800000000000004"/>
  </r>
  <r>
    <x v="658"/>
    <x v="7"/>
    <s v="16:30"/>
    <x v="1"/>
    <s v="Frozen Pizza"/>
    <s v="Frozen"/>
    <n v="1"/>
    <n v="3.49"/>
    <s v="No"/>
    <n v="38"/>
    <n v="0"/>
    <n v="4"/>
    <n v="3.8"/>
    <n v="3.49"/>
  </r>
  <r>
    <x v="659"/>
    <x v="53"/>
    <s v="13:05"/>
    <x v="4"/>
    <s v="Greek Yogurt"/>
    <s v="Dairy"/>
    <n v="1"/>
    <n v="1.85"/>
    <s v="No"/>
    <n v="31"/>
    <n v="0"/>
    <n v="8"/>
    <n v="4.3"/>
    <n v="1.85"/>
  </r>
  <r>
    <x v="660"/>
    <x v="31"/>
    <s v="12:15"/>
    <x v="4"/>
    <s v="Milk 2L"/>
    <s v="Dairy"/>
    <n v="2"/>
    <n v="1.32"/>
    <s v="Yes"/>
    <n v="42"/>
    <n v="0"/>
    <n v="8"/>
    <n v="3.7"/>
    <n v="2.64"/>
  </r>
  <r>
    <x v="661"/>
    <x v="64"/>
    <s v="17:25"/>
    <x v="4"/>
    <s v="Milk 2L"/>
    <s v="Dairy"/>
    <n v="1"/>
    <n v="1.32"/>
    <s v="Yes"/>
    <n v="6"/>
    <n v="1"/>
    <n v="9"/>
    <n v="5.2"/>
    <n v="1.32"/>
  </r>
  <r>
    <x v="662"/>
    <x v="70"/>
    <s v="09:20"/>
    <x v="4"/>
    <s v="Washing Liquid"/>
    <s v="Household"/>
    <n v="2"/>
    <n v="3.99"/>
    <s v="No"/>
    <n v="40"/>
    <n v="0"/>
    <n v="7"/>
    <n v="1.7"/>
    <n v="7.98"/>
  </r>
  <r>
    <x v="663"/>
    <x v="85"/>
    <s v="18:15"/>
    <x v="0"/>
    <s v="Frozen Chips"/>
    <s v="Frozen"/>
    <n v="2"/>
    <n v="2.25"/>
    <s v="No"/>
    <n v="28"/>
    <n v="0"/>
    <n v="6"/>
    <n v="4.0999999999999996"/>
    <n v="4.5"/>
  </r>
  <r>
    <x v="664"/>
    <x v="87"/>
    <s v="18:05"/>
    <x v="0"/>
    <s v="Washing Liquid"/>
    <s v="Household"/>
    <n v="1"/>
    <n v="3.99"/>
    <s v="No"/>
    <n v="27"/>
    <n v="0"/>
    <n v="6"/>
    <n v="4.7"/>
    <n v="3.99"/>
  </r>
  <r>
    <x v="665"/>
    <x v="41"/>
    <s v="10:50"/>
    <x v="5"/>
    <s v="Frozen Pizza"/>
    <s v="Frozen"/>
    <n v="1"/>
    <n v="2.97"/>
    <s v="Yes"/>
    <n v="38"/>
    <n v="0"/>
    <n v="7"/>
    <n v="2.4"/>
    <n v="2.97"/>
  </r>
  <r>
    <x v="666"/>
    <x v="77"/>
    <s v="19:50"/>
    <x v="3"/>
    <s v="Greek Yogurt"/>
    <s v="Dairy"/>
    <n v="2"/>
    <n v="1.85"/>
    <s v="No"/>
    <n v="44"/>
    <n v="0"/>
    <n v="6"/>
    <n v="5.5"/>
    <n v="3.7"/>
  </r>
  <r>
    <x v="667"/>
    <x v="50"/>
    <s v="13:40"/>
    <x v="3"/>
    <s v="Frozen Pizza"/>
    <s v="Frozen"/>
    <n v="2"/>
    <n v="2.97"/>
    <s v="Yes"/>
    <n v="59"/>
    <n v="0"/>
    <n v="9"/>
    <n v="3.8"/>
    <n v="5.94"/>
  </r>
  <r>
    <x v="668"/>
    <x v="82"/>
    <s v="17:10"/>
    <x v="0"/>
    <s v="Bananas"/>
    <s v="Fresh Produce"/>
    <n v="2"/>
    <n v="0.95"/>
    <s v="No"/>
    <n v="34"/>
    <n v="3"/>
    <n v="7"/>
    <n v="3"/>
    <n v="1.9"/>
  </r>
  <r>
    <x v="669"/>
    <x v="10"/>
    <s v="14:20"/>
    <x v="3"/>
    <s v="Tomatoes"/>
    <s v="Fresh Produce"/>
    <n v="2"/>
    <n v="1.49"/>
    <s v="No"/>
    <n v="7"/>
    <n v="0"/>
    <n v="7"/>
    <n v="1.2"/>
    <n v="2.98"/>
  </r>
  <r>
    <x v="670"/>
    <x v="60"/>
    <s v="13:40"/>
    <x v="4"/>
    <s v="Washing Liquid"/>
    <s v="Household"/>
    <n v="1"/>
    <n v="3.39"/>
    <s v="Yes"/>
    <n v="42"/>
    <n v="0"/>
    <n v="7"/>
    <n v="5.8"/>
    <n v="3.39"/>
  </r>
  <r>
    <x v="671"/>
    <x v="25"/>
    <s v="18:15"/>
    <x v="5"/>
    <s v="Apples"/>
    <s v="Fresh Produce"/>
    <n v="1"/>
    <n v="1.79"/>
    <s v="No"/>
    <n v="22"/>
    <n v="0"/>
    <n v="6"/>
    <n v="4.7"/>
    <n v="1.79"/>
  </r>
  <r>
    <x v="672"/>
    <x v="63"/>
    <s v="18:50"/>
    <x v="6"/>
    <s v="Frozen Chips"/>
    <s v="Frozen"/>
    <n v="1"/>
    <n v="2.25"/>
    <s v="No"/>
    <n v="39"/>
    <n v="0"/>
    <n v="9"/>
    <n v="4.5999999999999996"/>
    <n v="2.25"/>
  </r>
  <r>
    <x v="673"/>
    <x v="33"/>
    <s v="13:45"/>
    <x v="2"/>
    <s v="Washing Liquid"/>
    <s v="Household"/>
    <n v="2"/>
    <n v="3.99"/>
    <s v="No"/>
    <n v="45"/>
    <n v="0"/>
    <n v="7"/>
    <n v="6.6"/>
    <n v="7.98"/>
  </r>
  <r>
    <x v="674"/>
    <x v="32"/>
    <s v="13:10"/>
    <x v="1"/>
    <s v="Kitchen Roll"/>
    <s v="Household"/>
    <n v="1"/>
    <n v="3.29"/>
    <s v="No"/>
    <n v="22"/>
    <n v="0"/>
    <n v="7"/>
    <n v="3.9"/>
    <n v="3.29"/>
  </r>
  <r>
    <x v="675"/>
    <x v="64"/>
    <s v="12:30"/>
    <x v="4"/>
    <s v="Cola 2L"/>
    <s v="Drinks"/>
    <n v="3"/>
    <n v="1.75"/>
    <s v="No"/>
    <n v="13"/>
    <n v="0"/>
    <n v="8"/>
    <n v="5.6"/>
    <n v="5.25"/>
  </r>
  <r>
    <x v="676"/>
    <x v="4"/>
    <s v="14:00"/>
    <x v="4"/>
    <s v="Bin Bags"/>
    <s v="Household"/>
    <n v="4"/>
    <n v="2.29"/>
    <s v="Yes"/>
    <n v="40"/>
    <n v="0"/>
    <n v="7"/>
    <n v="1.1000000000000001"/>
    <n v="9.16"/>
  </r>
  <r>
    <x v="677"/>
    <x v="51"/>
    <s v="13:50"/>
    <x v="5"/>
    <s v="Orange Juice"/>
    <s v="Drinks"/>
    <n v="2"/>
    <n v="1.89"/>
    <s v="No"/>
    <n v="55"/>
    <n v="0"/>
    <n v="7"/>
    <n v="5.7"/>
    <n v="3.78"/>
  </r>
  <r>
    <x v="678"/>
    <x v="84"/>
    <s v="14:20"/>
    <x v="1"/>
    <s v="Bin Bags"/>
    <s v="Household"/>
    <n v="1"/>
    <n v="2.69"/>
    <s v="No"/>
    <n v="10"/>
    <n v="0"/>
    <n v="7"/>
    <n v="1"/>
    <n v="2.69"/>
  </r>
  <r>
    <x v="679"/>
    <x v="81"/>
    <s v="19:20"/>
    <x v="1"/>
    <s v="Apples"/>
    <s v="Fresh Produce"/>
    <n v="1"/>
    <n v="1.52"/>
    <s v="Yes"/>
    <n v="32"/>
    <n v="1"/>
    <n v="6"/>
    <n v="4.7"/>
    <n v="1.52"/>
  </r>
  <r>
    <x v="680"/>
    <x v="76"/>
    <s v="09:45"/>
    <x v="4"/>
    <s v="White Bread"/>
    <s v="Bakery"/>
    <n v="1"/>
    <n v="1.39"/>
    <s v="No"/>
    <n v="6"/>
    <n v="0"/>
    <n v="7"/>
    <n v="2.2000000000000002"/>
    <n v="1.39"/>
  </r>
  <r>
    <x v="681"/>
    <x v="29"/>
    <s v="13:15"/>
    <x v="5"/>
    <s v="Bin Bags"/>
    <s v="Household"/>
    <n v="3"/>
    <n v="2.69"/>
    <s v="No"/>
    <n v="43"/>
    <n v="1"/>
    <n v="8"/>
    <n v="4.7"/>
    <n v="8.07"/>
  </r>
  <r>
    <x v="682"/>
    <x v="89"/>
    <s v="13:05"/>
    <x v="2"/>
    <s v="Apples"/>
    <s v="Fresh Produce"/>
    <n v="2"/>
    <n v="1.79"/>
    <s v="No"/>
    <n v="15"/>
    <n v="0"/>
    <n v="8"/>
    <n v="6.4"/>
    <n v="3.58"/>
  </r>
  <r>
    <x v="683"/>
    <x v="20"/>
    <s v="14:45"/>
    <x v="5"/>
    <s v="Bottled Water 6pk"/>
    <s v="Drinks"/>
    <n v="1"/>
    <n v="2.4900000000000002"/>
    <s v="No"/>
    <n v="10"/>
    <n v="0"/>
    <n v="4"/>
    <n v="4.0999999999999996"/>
    <n v="2.4900000000000002"/>
  </r>
  <r>
    <x v="684"/>
    <x v="5"/>
    <s v="09:40"/>
    <x v="4"/>
    <s v="Apples"/>
    <s v="Fresh Produce"/>
    <n v="2"/>
    <n v="1.79"/>
    <s v="No"/>
    <n v="54"/>
    <n v="0"/>
    <n v="4"/>
    <n v="3.1"/>
    <n v="3.58"/>
  </r>
  <r>
    <x v="685"/>
    <x v="20"/>
    <s v="08:45"/>
    <x v="5"/>
    <s v="Croissants"/>
    <s v="Bakery"/>
    <n v="1"/>
    <n v="1.99"/>
    <s v="No"/>
    <n v="21"/>
    <n v="1"/>
    <n v="5"/>
    <n v="4.5"/>
    <n v="1.99"/>
  </r>
  <r>
    <x v="686"/>
    <x v="76"/>
    <s v="18:35"/>
    <x v="4"/>
    <s v="Cola 2L"/>
    <s v="Drinks"/>
    <n v="1"/>
    <n v="1.75"/>
    <s v="No"/>
    <n v="50"/>
    <n v="0"/>
    <n v="8"/>
    <n v="4.8"/>
    <n v="1.75"/>
  </r>
  <r>
    <x v="687"/>
    <x v="1"/>
    <s v="10:25"/>
    <x v="1"/>
    <s v="Bananas"/>
    <s v="Fresh Produce"/>
    <n v="1"/>
    <n v="0.95"/>
    <s v="No"/>
    <n v="26"/>
    <n v="2"/>
    <n v="6"/>
    <n v="1.1000000000000001"/>
    <n v="0.95"/>
  </r>
  <r>
    <x v="688"/>
    <x v="5"/>
    <s v="13:10"/>
    <x v="4"/>
    <s v="White Bread"/>
    <s v="Bakery"/>
    <n v="1"/>
    <n v="1.39"/>
    <s v="No"/>
    <n v="30"/>
    <n v="0"/>
    <n v="8"/>
    <n v="4.8"/>
    <n v="1.39"/>
  </r>
  <r>
    <x v="689"/>
    <x v="38"/>
    <s v="13:00"/>
    <x v="1"/>
    <s v="Cheddar Cheese"/>
    <s v="Dairy"/>
    <n v="2"/>
    <n v="2.79"/>
    <s v="No"/>
    <n v="23"/>
    <n v="0"/>
    <n v="9"/>
    <n v="5.6"/>
    <n v="5.58"/>
  </r>
  <r>
    <x v="690"/>
    <x v="17"/>
    <s v="18:20"/>
    <x v="5"/>
    <s v="Ice Cream"/>
    <s v="Frozen"/>
    <n v="1"/>
    <n v="3.95"/>
    <s v="No"/>
    <n v="3"/>
    <n v="0"/>
    <n v="9"/>
    <n v="4.0999999999999996"/>
    <n v="3.95"/>
  </r>
  <r>
    <x v="691"/>
    <x v="50"/>
    <s v="19:00"/>
    <x v="3"/>
    <s v="Bananas"/>
    <s v="Fresh Produce"/>
    <n v="1"/>
    <n v="0.95"/>
    <s v="No"/>
    <n v="43"/>
    <n v="0"/>
    <n v="8"/>
    <n v="6.6"/>
    <n v="0.95"/>
  </r>
  <r>
    <x v="692"/>
    <x v="57"/>
    <s v="19:05"/>
    <x v="4"/>
    <s v="Washing Liquid"/>
    <s v="Household"/>
    <n v="1"/>
    <n v="3.39"/>
    <s v="Yes"/>
    <n v="56"/>
    <n v="0"/>
    <n v="7"/>
    <n v="5.4"/>
    <n v="3.39"/>
  </r>
  <r>
    <x v="693"/>
    <x v="72"/>
    <s v="18:25"/>
    <x v="3"/>
    <s v="Washing Liquid"/>
    <s v="Household"/>
    <n v="1"/>
    <n v="3.99"/>
    <s v="No"/>
    <n v="59"/>
    <n v="0"/>
    <n v="8"/>
    <n v="3.8"/>
    <n v="3.99"/>
  </r>
  <r>
    <x v="694"/>
    <x v="53"/>
    <s v="21:10"/>
    <x v="4"/>
    <s v="Orange Juice"/>
    <s v="Drinks"/>
    <n v="1"/>
    <n v="1.89"/>
    <s v="No"/>
    <n v="10"/>
    <n v="0"/>
    <n v="7"/>
    <n v="1.9"/>
    <n v="1.89"/>
  </r>
  <r>
    <x v="695"/>
    <x v="20"/>
    <s v="14:30"/>
    <x v="5"/>
    <s v="Frozen Chips"/>
    <s v="Frozen"/>
    <n v="1"/>
    <n v="2.25"/>
    <s v="No"/>
    <n v="17"/>
    <n v="0"/>
    <n v="4"/>
    <n v="3.7"/>
    <n v="2.25"/>
  </r>
  <r>
    <x v="696"/>
    <x v="19"/>
    <s v="11:55"/>
    <x v="6"/>
    <s v="Frozen Chips"/>
    <s v="Frozen"/>
    <n v="2"/>
    <n v="2.25"/>
    <s v="No"/>
    <n v="45"/>
    <n v="0"/>
    <n v="7"/>
    <n v="2.6"/>
    <n v="4.5"/>
  </r>
  <r>
    <x v="697"/>
    <x v="62"/>
    <s v="19:05"/>
    <x v="2"/>
    <s v="Frozen Chips"/>
    <s v="Frozen"/>
    <n v="1"/>
    <n v="2.25"/>
    <s v="No"/>
    <n v="42"/>
    <n v="0"/>
    <n v="9"/>
    <n v="5.3"/>
    <n v="2.25"/>
  </r>
  <r>
    <x v="698"/>
    <x v="81"/>
    <s v="18:50"/>
    <x v="1"/>
    <s v="Cheddar Cheese"/>
    <s v="Dairy"/>
    <n v="2"/>
    <n v="2.79"/>
    <s v="No"/>
    <n v="22"/>
    <n v="0"/>
    <n v="8"/>
    <n v="4.8"/>
    <n v="5.58"/>
  </r>
  <r>
    <x v="699"/>
    <x v="60"/>
    <s v="09:25"/>
    <x v="4"/>
    <s v="Apples"/>
    <s v="Fresh Produce"/>
    <n v="3"/>
    <n v="1.79"/>
    <s v="No"/>
    <n v="51"/>
    <n v="3"/>
    <n v="7"/>
    <n v="2.8"/>
    <n v="5.37"/>
  </r>
  <r>
    <x v="700"/>
    <x v="21"/>
    <s v="19:50"/>
    <x v="5"/>
    <s v="White Bread"/>
    <s v="Bakery"/>
    <n v="3"/>
    <n v="1.39"/>
    <s v="No"/>
    <n v="34"/>
    <n v="0"/>
    <n v="8"/>
    <n v="3.6"/>
    <n v="4.17"/>
  </r>
  <r>
    <x v="701"/>
    <x v="13"/>
    <s v="17:05"/>
    <x v="6"/>
    <s v="Washing Liquid"/>
    <s v="Household"/>
    <n v="1"/>
    <n v="3.99"/>
    <s v="No"/>
    <n v="57"/>
    <n v="0"/>
    <n v="9"/>
    <n v="6.7"/>
    <n v="3.99"/>
  </r>
  <r>
    <x v="702"/>
    <x v="80"/>
    <s v="19:05"/>
    <x v="0"/>
    <s v="Bin Bags"/>
    <s v="Household"/>
    <n v="1"/>
    <n v="2.69"/>
    <s v="No"/>
    <n v="9"/>
    <n v="0"/>
    <n v="9"/>
    <n v="6.1"/>
    <n v="2.69"/>
  </r>
  <r>
    <x v="703"/>
    <x v="25"/>
    <s v="13:15"/>
    <x v="5"/>
    <s v="Milk 2L"/>
    <s v="Dairy"/>
    <n v="2"/>
    <n v="1.32"/>
    <s v="Yes"/>
    <n v="17"/>
    <n v="0"/>
    <n v="7"/>
    <n v="4.4000000000000004"/>
    <n v="2.64"/>
  </r>
  <r>
    <x v="704"/>
    <x v="71"/>
    <s v="14:20"/>
    <x v="6"/>
    <s v="Orange Juice"/>
    <s v="Drinks"/>
    <n v="2"/>
    <n v="1.61"/>
    <s v="Yes"/>
    <n v="19"/>
    <n v="0"/>
    <n v="4"/>
    <n v="5"/>
    <n v="3.22"/>
  </r>
  <r>
    <x v="705"/>
    <x v="22"/>
    <s v="13:15"/>
    <x v="2"/>
    <s v="Washing Liquid"/>
    <s v="Household"/>
    <n v="3"/>
    <n v="3.99"/>
    <s v="No"/>
    <n v="25"/>
    <n v="0"/>
    <n v="6"/>
    <n v="4.0999999999999996"/>
    <n v="11.97"/>
  </r>
  <r>
    <x v="706"/>
    <x v="18"/>
    <s v="20:25"/>
    <x v="1"/>
    <s v="Greek Yogurt"/>
    <s v="Dairy"/>
    <n v="3"/>
    <n v="1.85"/>
    <s v="No"/>
    <n v="53"/>
    <n v="0"/>
    <n v="5"/>
    <n v="3.7"/>
    <n v="5.5500000000000007"/>
  </r>
  <r>
    <x v="707"/>
    <x v="71"/>
    <s v="18:15"/>
    <x v="6"/>
    <s v="Apples"/>
    <s v="Fresh Produce"/>
    <n v="3"/>
    <n v="1.52"/>
    <s v="Yes"/>
    <n v="17"/>
    <n v="0"/>
    <n v="9"/>
    <n v="6"/>
    <n v="4.5600000000000005"/>
  </r>
  <r>
    <x v="708"/>
    <x v="67"/>
    <s v="14:55"/>
    <x v="2"/>
    <s v="Cola 2L"/>
    <s v="Drinks"/>
    <n v="2"/>
    <n v="1.75"/>
    <s v="No"/>
    <n v="17"/>
    <n v="0"/>
    <n v="7"/>
    <n v="2.8"/>
    <n v="3.5"/>
  </r>
  <r>
    <x v="709"/>
    <x v="35"/>
    <s v="16:35"/>
    <x v="0"/>
    <s v="Bin Bags"/>
    <s v="Household"/>
    <n v="1"/>
    <n v="2.69"/>
    <s v="No"/>
    <n v="23"/>
    <n v="0"/>
    <n v="4"/>
    <n v="5"/>
    <n v="2.69"/>
  </r>
  <r>
    <x v="710"/>
    <x v="56"/>
    <s v="16:00"/>
    <x v="5"/>
    <s v="Greek Yogurt"/>
    <s v="Dairy"/>
    <n v="2"/>
    <n v="1.85"/>
    <s v="No"/>
    <n v="21"/>
    <n v="0"/>
    <n v="4"/>
    <n v="4.5"/>
    <n v="3.7"/>
  </r>
  <r>
    <x v="711"/>
    <x v="70"/>
    <s v="17:15"/>
    <x v="4"/>
    <s v="Chocolate Cookies"/>
    <s v="Bakery"/>
    <n v="2"/>
    <n v="1.69"/>
    <s v="No"/>
    <n v="46"/>
    <n v="1"/>
    <n v="8"/>
    <n v="5.9"/>
    <n v="3.38"/>
  </r>
  <r>
    <x v="712"/>
    <x v="51"/>
    <s v="16:00"/>
    <x v="5"/>
    <s v="Bin Bags"/>
    <s v="Household"/>
    <n v="1"/>
    <n v="2.69"/>
    <s v="No"/>
    <n v="51"/>
    <n v="0"/>
    <n v="7"/>
    <n v="2.2000000000000002"/>
    <n v="2.69"/>
  </r>
  <r>
    <x v="713"/>
    <x v="85"/>
    <s v="12:30"/>
    <x v="0"/>
    <s v="Apples"/>
    <s v="Fresh Produce"/>
    <n v="1"/>
    <n v="1.52"/>
    <s v="Yes"/>
    <n v="55"/>
    <n v="0"/>
    <n v="9"/>
    <n v="4.3"/>
    <n v="1.52"/>
  </r>
  <r>
    <x v="714"/>
    <x v="65"/>
    <s v="14:40"/>
    <x v="3"/>
    <s v="White Bread"/>
    <s v="Bakery"/>
    <n v="1"/>
    <n v="1.39"/>
    <s v="No"/>
    <n v="51"/>
    <n v="1"/>
    <n v="7"/>
    <n v="2.8"/>
    <n v="1.39"/>
  </r>
  <r>
    <x v="715"/>
    <x v="24"/>
    <s v="11:20"/>
    <x v="6"/>
    <s v="Bananas"/>
    <s v="Fresh Produce"/>
    <n v="1"/>
    <n v="0.81"/>
    <s v="Yes"/>
    <n v="46"/>
    <n v="0"/>
    <n v="5"/>
    <n v="3.7"/>
    <n v="0.81"/>
  </r>
  <r>
    <x v="716"/>
    <x v="29"/>
    <s v="16:20"/>
    <x v="5"/>
    <s v="Bananas"/>
    <s v="Fresh Produce"/>
    <n v="1"/>
    <n v="0.95"/>
    <s v="No"/>
    <n v="17"/>
    <n v="0"/>
    <n v="4"/>
    <n v="5"/>
    <n v="0.95"/>
  </r>
  <r>
    <x v="717"/>
    <x v="47"/>
    <s v="12:35"/>
    <x v="4"/>
    <s v="Croissants"/>
    <s v="Bakery"/>
    <n v="1"/>
    <n v="1.99"/>
    <s v="No"/>
    <n v="45"/>
    <n v="0"/>
    <n v="8"/>
    <n v="6.3"/>
    <n v="1.99"/>
  </r>
  <r>
    <x v="718"/>
    <x v="31"/>
    <s v="13:25"/>
    <x v="4"/>
    <s v="Croissants"/>
    <s v="Bakery"/>
    <n v="1"/>
    <n v="1.99"/>
    <s v="No"/>
    <n v="21"/>
    <n v="0"/>
    <n v="8"/>
    <n v="5.2"/>
    <n v="1.99"/>
  </r>
  <r>
    <x v="719"/>
    <x v="90"/>
    <s v="19:45"/>
    <x v="4"/>
    <s v="Greek Yogurt"/>
    <s v="Dairy"/>
    <n v="2"/>
    <n v="1.57"/>
    <s v="Yes"/>
    <n v="48"/>
    <n v="0"/>
    <n v="6"/>
    <n v="6.1"/>
    <n v="3.14"/>
  </r>
  <r>
    <x v="720"/>
    <x v="22"/>
    <s v="13:20"/>
    <x v="2"/>
    <s v="Bottled Water 6pk"/>
    <s v="Drinks"/>
    <n v="1"/>
    <n v="2.4900000000000002"/>
    <s v="No"/>
    <n v="10"/>
    <n v="0"/>
    <n v="7"/>
    <n v="5.4"/>
    <n v="2.4900000000000002"/>
  </r>
  <r>
    <x v="721"/>
    <x v="11"/>
    <s v="13:25"/>
    <x v="1"/>
    <s v="Croissants"/>
    <s v="Bakery"/>
    <n v="2"/>
    <n v="1.99"/>
    <s v="No"/>
    <n v="59"/>
    <n v="2"/>
    <n v="9"/>
    <n v="5.9"/>
    <n v="3.98"/>
  </r>
  <r>
    <x v="722"/>
    <x v="10"/>
    <s v="14:55"/>
    <x v="3"/>
    <s v="Washing Liquid"/>
    <s v="Household"/>
    <n v="3"/>
    <n v="3.39"/>
    <s v="Yes"/>
    <n v="12"/>
    <n v="0"/>
    <n v="4"/>
    <n v="3.4"/>
    <n v="10.17"/>
  </r>
  <r>
    <x v="723"/>
    <x v="17"/>
    <s v="19:20"/>
    <x v="5"/>
    <s v="Cheddar Cheese"/>
    <s v="Dairy"/>
    <n v="1"/>
    <n v="2.79"/>
    <s v="No"/>
    <n v="34"/>
    <n v="0"/>
    <n v="9"/>
    <n v="6.3"/>
    <n v="2.79"/>
  </r>
  <r>
    <x v="724"/>
    <x v="0"/>
    <s v="17:00"/>
    <x v="0"/>
    <s v="Chocolate Cookies"/>
    <s v="Bakery"/>
    <n v="1"/>
    <n v="1.69"/>
    <s v="No"/>
    <n v="43"/>
    <n v="1"/>
    <n v="7"/>
    <n v="3.3"/>
    <n v="1.69"/>
  </r>
  <r>
    <x v="725"/>
    <x v="31"/>
    <s v="16:00"/>
    <x v="4"/>
    <s v="Orange Juice"/>
    <s v="Drinks"/>
    <n v="2"/>
    <n v="1.89"/>
    <s v="No"/>
    <n v="27"/>
    <n v="0"/>
    <n v="5"/>
    <n v="4.4000000000000004"/>
    <n v="3.78"/>
  </r>
  <r>
    <x v="726"/>
    <x v="74"/>
    <s v="13:10"/>
    <x v="0"/>
    <s v="Chocolate Cookies"/>
    <s v="Bakery"/>
    <n v="1"/>
    <n v="1.44"/>
    <s v="Yes"/>
    <n v="6"/>
    <n v="0"/>
    <n v="7"/>
    <n v="4.0999999999999996"/>
    <n v="1.44"/>
  </r>
  <r>
    <x v="727"/>
    <x v="15"/>
    <s v="12:45"/>
    <x v="2"/>
    <s v="Greek Yogurt"/>
    <s v="Dairy"/>
    <n v="1"/>
    <n v="1.85"/>
    <s v="No"/>
    <n v="40"/>
    <n v="0"/>
    <n v="7"/>
    <n v="5.0999999999999996"/>
    <n v="1.85"/>
  </r>
  <r>
    <x v="728"/>
    <x v="11"/>
    <s v="16:55"/>
    <x v="1"/>
    <s v="Washing Liquid"/>
    <s v="Household"/>
    <n v="1"/>
    <n v="3.39"/>
    <s v="Yes"/>
    <n v="9"/>
    <n v="0"/>
    <n v="7"/>
    <n v="1.6"/>
    <n v="3.39"/>
  </r>
  <r>
    <x v="729"/>
    <x v="75"/>
    <s v="12:00"/>
    <x v="4"/>
    <s v="Cheddar Cheese"/>
    <s v="Dairy"/>
    <n v="1"/>
    <n v="2.79"/>
    <s v="No"/>
    <n v="22"/>
    <n v="0"/>
    <n v="9"/>
    <n v="4"/>
    <n v="2.79"/>
  </r>
  <r>
    <x v="730"/>
    <x v="77"/>
    <s v="15:15"/>
    <x v="3"/>
    <s v="Bin Bags"/>
    <s v="Household"/>
    <n v="2"/>
    <n v="2.69"/>
    <s v="No"/>
    <n v="39"/>
    <n v="0"/>
    <n v="7"/>
    <n v="1.8"/>
    <n v="5.38"/>
  </r>
  <r>
    <x v="731"/>
    <x v="11"/>
    <s v="17:30"/>
    <x v="1"/>
    <s v="Greek Yogurt"/>
    <s v="Dairy"/>
    <n v="2"/>
    <n v="1.85"/>
    <s v="No"/>
    <n v="14"/>
    <n v="0"/>
    <n v="7"/>
    <n v="4.3"/>
    <n v="3.7"/>
  </r>
  <r>
    <x v="732"/>
    <x v="68"/>
    <s v="16:50"/>
    <x v="1"/>
    <s v="Milk 2L"/>
    <s v="Dairy"/>
    <n v="2"/>
    <n v="1.55"/>
    <s v="No"/>
    <n v="48"/>
    <n v="0"/>
    <n v="7"/>
    <n v="2.5"/>
    <n v="3.1"/>
  </r>
  <r>
    <x v="733"/>
    <x v="43"/>
    <s v="08:45"/>
    <x v="6"/>
    <s v="Bananas"/>
    <s v="Fresh Produce"/>
    <n v="3"/>
    <n v="0.95"/>
    <s v="No"/>
    <n v="48"/>
    <n v="2"/>
    <n v="7"/>
    <n v="2.4"/>
    <n v="2.8499999999999996"/>
  </r>
  <r>
    <x v="734"/>
    <x v="50"/>
    <s v="18:25"/>
    <x v="3"/>
    <s v="Tomatoes"/>
    <s v="Fresh Produce"/>
    <n v="2"/>
    <n v="1.27"/>
    <s v="Yes"/>
    <n v="55"/>
    <n v="0"/>
    <n v="7"/>
    <n v="6.6"/>
    <n v="2.54"/>
  </r>
  <r>
    <x v="735"/>
    <x v="63"/>
    <s v="13:55"/>
    <x v="6"/>
    <s v="Frozen Pizza"/>
    <s v="Frozen"/>
    <n v="2"/>
    <n v="2.97"/>
    <s v="Yes"/>
    <n v="22"/>
    <n v="0"/>
    <n v="9"/>
    <n v="3.8"/>
    <n v="5.94"/>
  </r>
  <r>
    <x v="736"/>
    <x v="19"/>
    <s v="13:50"/>
    <x v="6"/>
    <s v="Frozen Chips"/>
    <s v="Frozen"/>
    <n v="1"/>
    <n v="2.25"/>
    <s v="No"/>
    <n v="46"/>
    <n v="0"/>
    <n v="6"/>
    <n v="4.7"/>
    <n v="2.25"/>
  </r>
  <r>
    <x v="737"/>
    <x v="33"/>
    <s v="08:40"/>
    <x v="2"/>
    <s v="Bananas"/>
    <s v="Fresh Produce"/>
    <n v="2"/>
    <n v="0.95"/>
    <s v="No"/>
    <n v="45"/>
    <n v="0"/>
    <n v="7"/>
    <n v="2.8"/>
    <n v="1.9"/>
  </r>
  <r>
    <x v="738"/>
    <x v="11"/>
    <s v="19:30"/>
    <x v="1"/>
    <s v="Apples"/>
    <s v="Fresh Produce"/>
    <n v="1"/>
    <n v="1.52"/>
    <s v="Yes"/>
    <n v="26"/>
    <n v="0"/>
    <n v="7"/>
    <n v="4.5"/>
    <n v="1.52"/>
  </r>
  <r>
    <x v="739"/>
    <x v="11"/>
    <s v="14:30"/>
    <x v="1"/>
    <s v="Cola 2L"/>
    <s v="Drinks"/>
    <n v="3"/>
    <n v="1.49"/>
    <s v="Yes"/>
    <n v="14"/>
    <n v="0"/>
    <n v="4"/>
    <n v="3.1"/>
    <n v="4.47"/>
  </r>
  <r>
    <x v="740"/>
    <x v="50"/>
    <s v="13:35"/>
    <x v="3"/>
    <s v="Bananas"/>
    <s v="Fresh Produce"/>
    <n v="1"/>
    <n v="0.95"/>
    <s v="No"/>
    <n v="3"/>
    <n v="0"/>
    <n v="9"/>
    <n v="5"/>
    <n v="0.95"/>
  </r>
  <r>
    <x v="741"/>
    <x v="10"/>
    <s v="16:50"/>
    <x v="3"/>
    <s v="Bottled Water 6pk"/>
    <s v="Drinks"/>
    <n v="1"/>
    <n v="2.4900000000000002"/>
    <s v="No"/>
    <n v="41"/>
    <n v="1"/>
    <n v="5"/>
    <n v="2.6"/>
    <n v="2.4900000000000002"/>
  </r>
  <r>
    <x v="742"/>
    <x v="52"/>
    <s v="11:35"/>
    <x v="5"/>
    <s v="Washing Liquid"/>
    <s v="Household"/>
    <n v="2"/>
    <n v="3.39"/>
    <s v="Yes"/>
    <n v="20"/>
    <n v="0"/>
    <n v="5"/>
    <n v="3.5"/>
    <n v="6.78"/>
  </r>
  <r>
    <x v="743"/>
    <x v="18"/>
    <s v="17:35"/>
    <x v="1"/>
    <s v="Bottled Water 6pk"/>
    <s v="Drinks"/>
    <n v="1"/>
    <n v="2.4900000000000002"/>
    <s v="No"/>
    <n v="41"/>
    <n v="0"/>
    <n v="8"/>
    <n v="5.4"/>
    <n v="2.4900000000000002"/>
  </r>
  <r>
    <x v="744"/>
    <x v="33"/>
    <s v="12:35"/>
    <x v="2"/>
    <s v="Frozen Pizza"/>
    <s v="Frozen"/>
    <n v="1"/>
    <n v="3.49"/>
    <s v="No"/>
    <n v="40"/>
    <n v="0"/>
    <n v="8"/>
    <n v="4.8"/>
    <n v="3.49"/>
  </r>
  <r>
    <x v="745"/>
    <x v="53"/>
    <s v="14:45"/>
    <x v="4"/>
    <s v="Orange Juice"/>
    <s v="Drinks"/>
    <n v="1"/>
    <n v="1.61"/>
    <s v="Yes"/>
    <n v="44"/>
    <n v="0"/>
    <n v="6"/>
    <n v="1.5"/>
    <n v="1.61"/>
  </r>
  <r>
    <x v="746"/>
    <x v="35"/>
    <s v="14:35"/>
    <x v="0"/>
    <s v="Bananas"/>
    <s v="Fresh Produce"/>
    <n v="1"/>
    <n v="0.81"/>
    <s v="Yes"/>
    <n v="52"/>
    <n v="1"/>
    <n v="6"/>
    <n v="2.8"/>
    <n v="0.81"/>
  </r>
  <r>
    <x v="747"/>
    <x v="47"/>
    <s v="17:50"/>
    <x v="4"/>
    <s v="Orange Juice"/>
    <s v="Drinks"/>
    <n v="1"/>
    <n v="1.89"/>
    <s v="No"/>
    <n v="9"/>
    <n v="0"/>
    <n v="6"/>
    <n v="6.1"/>
    <n v="1.89"/>
  </r>
  <r>
    <x v="748"/>
    <x v="4"/>
    <s v="18:25"/>
    <x v="4"/>
    <s v="Cola 2L"/>
    <s v="Drinks"/>
    <n v="1"/>
    <n v="1.75"/>
    <s v="No"/>
    <n v="42"/>
    <n v="0"/>
    <n v="8"/>
    <n v="5.6"/>
    <n v="1.75"/>
  </r>
  <r>
    <x v="749"/>
    <x v="69"/>
    <s v="14:45"/>
    <x v="2"/>
    <s v="Frozen Pizza"/>
    <s v="Frozen"/>
    <n v="1"/>
    <n v="3.49"/>
    <s v="No"/>
    <n v="23"/>
    <n v="0"/>
    <n v="4"/>
    <n v="4.5999999999999996"/>
    <n v="3.49"/>
  </r>
  <r>
    <x v="750"/>
    <x v="44"/>
    <s v="13:20"/>
    <x v="3"/>
    <s v="Frozen Pizza"/>
    <s v="Frozen"/>
    <n v="2"/>
    <n v="3.49"/>
    <s v="No"/>
    <n v="3"/>
    <n v="0"/>
    <n v="7"/>
    <n v="5.3"/>
    <n v="6.98"/>
  </r>
  <r>
    <x v="751"/>
    <x v="60"/>
    <s v="19:10"/>
    <x v="4"/>
    <s v="Orange Juice"/>
    <s v="Drinks"/>
    <n v="1"/>
    <n v="1.61"/>
    <s v="Yes"/>
    <n v="60"/>
    <n v="0"/>
    <n v="9"/>
    <n v="3.8"/>
    <n v="1.61"/>
  </r>
  <r>
    <x v="752"/>
    <x v="85"/>
    <s v="16:00"/>
    <x v="0"/>
    <s v="Apples"/>
    <s v="Fresh Produce"/>
    <n v="1"/>
    <n v="1.52"/>
    <s v="Yes"/>
    <n v="48"/>
    <n v="0"/>
    <n v="7"/>
    <n v="1.7"/>
    <n v="1.52"/>
  </r>
  <r>
    <x v="753"/>
    <x v="35"/>
    <s v="12:40"/>
    <x v="0"/>
    <s v="Frozen Pizza"/>
    <s v="Frozen"/>
    <n v="1"/>
    <n v="2.97"/>
    <s v="Yes"/>
    <n v="18"/>
    <n v="0"/>
    <n v="7"/>
    <n v="4.8"/>
    <n v="2.97"/>
  </r>
  <r>
    <x v="754"/>
    <x v="68"/>
    <s v="12:15"/>
    <x v="1"/>
    <s v="Croissants"/>
    <s v="Bakery"/>
    <n v="4"/>
    <n v="1.99"/>
    <s v="No"/>
    <n v="34"/>
    <n v="0"/>
    <n v="6"/>
    <n v="6.1"/>
    <n v="7.96"/>
  </r>
  <r>
    <x v="755"/>
    <x v="70"/>
    <s v="17:10"/>
    <x v="4"/>
    <s v="Bin Bags"/>
    <s v="Household"/>
    <n v="4"/>
    <n v="2.69"/>
    <s v="No"/>
    <n v="47"/>
    <n v="1"/>
    <n v="6"/>
    <n v="5.4"/>
    <n v="10.76"/>
  </r>
  <r>
    <x v="756"/>
    <x v="33"/>
    <s v="21:35"/>
    <x v="2"/>
    <s v="Orange Juice"/>
    <s v="Drinks"/>
    <n v="1"/>
    <n v="1.61"/>
    <s v="Yes"/>
    <n v="26"/>
    <n v="1"/>
    <n v="4"/>
    <n v="2.9"/>
    <n v="1.61"/>
  </r>
  <r>
    <x v="757"/>
    <x v="55"/>
    <s v="17:15"/>
    <x v="3"/>
    <s v="Kitchen Roll"/>
    <s v="Household"/>
    <n v="4"/>
    <n v="2.8"/>
    <s v="Yes"/>
    <n v="46"/>
    <n v="0"/>
    <n v="8"/>
    <n v="6.2"/>
    <n v="11.2"/>
  </r>
  <r>
    <x v="758"/>
    <x v="54"/>
    <s v="14:15"/>
    <x v="6"/>
    <s v="Bottled Water 6pk"/>
    <s v="Drinks"/>
    <n v="1"/>
    <n v="2.4900000000000002"/>
    <s v="No"/>
    <n v="46"/>
    <n v="0"/>
    <n v="4"/>
    <n v="4"/>
    <n v="2.4900000000000002"/>
  </r>
  <r>
    <x v="759"/>
    <x v="78"/>
    <s v="12:40"/>
    <x v="0"/>
    <s v="Apples"/>
    <s v="Fresh Produce"/>
    <n v="1"/>
    <n v="1.79"/>
    <s v="No"/>
    <n v="49"/>
    <n v="0"/>
    <n v="7"/>
    <n v="5.4"/>
    <n v="1.79"/>
  </r>
  <r>
    <x v="760"/>
    <x v="85"/>
    <s v="20:00"/>
    <x v="0"/>
    <s v="Chocolate Cookies"/>
    <s v="Bakery"/>
    <n v="2"/>
    <n v="1.69"/>
    <s v="No"/>
    <n v="34"/>
    <n v="0"/>
    <n v="5"/>
    <n v="4.5999999999999996"/>
    <n v="3.38"/>
  </r>
  <r>
    <x v="761"/>
    <x v="20"/>
    <s v="18:10"/>
    <x v="5"/>
    <s v="Milk 2L"/>
    <s v="Dairy"/>
    <n v="1"/>
    <n v="1.32"/>
    <s v="Yes"/>
    <n v="39"/>
    <n v="0"/>
    <n v="9"/>
    <n v="4.0999999999999996"/>
    <n v="1.32"/>
  </r>
  <r>
    <x v="762"/>
    <x v="13"/>
    <s v="07:00"/>
    <x v="6"/>
    <s v="Bin Bags"/>
    <s v="Household"/>
    <n v="1"/>
    <n v="2.69"/>
    <s v="No"/>
    <n v="16"/>
    <n v="0"/>
    <n v="6"/>
    <n v="1.4"/>
    <n v="2.69"/>
  </r>
  <r>
    <x v="763"/>
    <x v="48"/>
    <s v="21:50"/>
    <x v="5"/>
    <s v="Chocolate Cookies"/>
    <s v="Bakery"/>
    <n v="1"/>
    <n v="1.44"/>
    <s v="Yes"/>
    <n v="17"/>
    <n v="0"/>
    <n v="4"/>
    <n v="3.4"/>
    <n v="1.44"/>
  </r>
  <r>
    <x v="764"/>
    <x v="24"/>
    <s v="11:50"/>
    <x v="6"/>
    <s v="Kitchen Roll"/>
    <s v="Household"/>
    <n v="3"/>
    <n v="3.29"/>
    <s v="No"/>
    <n v="55"/>
    <n v="0"/>
    <n v="7"/>
    <n v="1.1000000000000001"/>
    <n v="9.870000000000001"/>
  </r>
  <r>
    <x v="765"/>
    <x v="58"/>
    <s v="12:05"/>
    <x v="3"/>
    <s v="Croissants"/>
    <s v="Bakery"/>
    <n v="1"/>
    <n v="1.99"/>
    <s v="No"/>
    <n v="11"/>
    <n v="0"/>
    <n v="6"/>
    <n v="4.0999999999999996"/>
    <n v="1.99"/>
  </r>
  <r>
    <x v="766"/>
    <x v="51"/>
    <s v="17:05"/>
    <x v="5"/>
    <s v="Chocolate Cookies"/>
    <s v="Bakery"/>
    <n v="1"/>
    <n v="1.69"/>
    <s v="No"/>
    <n v="38"/>
    <n v="2"/>
    <n v="6"/>
    <n v="4.5"/>
    <n v="1.69"/>
  </r>
  <r>
    <x v="767"/>
    <x v="11"/>
    <s v="19:40"/>
    <x v="1"/>
    <s v="Tomatoes"/>
    <s v="Fresh Produce"/>
    <n v="1"/>
    <n v="1.49"/>
    <s v="No"/>
    <n v="8"/>
    <n v="0"/>
    <n v="7"/>
    <n v="5.7"/>
    <n v="1.49"/>
  </r>
  <r>
    <x v="768"/>
    <x v="84"/>
    <s v="10:40"/>
    <x v="1"/>
    <s v="Milk 2L"/>
    <s v="Dairy"/>
    <n v="3"/>
    <n v="1.55"/>
    <s v="No"/>
    <n v="17"/>
    <n v="0"/>
    <n v="4"/>
    <n v="3.4"/>
    <n v="4.6500000000000004"/>
  </r>
  <r>
    <x v="769"/>
    <x v="48"/>
    <s v="12:15"/>
    <x v="5"/>
    <s v="Cheddar Cheese"/>
    <s v="Dairy"/>
    <n v="1"/>
    <n v="2.37"/>
    <s v="Yes"/>
    <n v="59"/>
    <n v="0"/>
    <n v="7"/>
    <n v="6"/>
    <n v="2.37"/>
  </r>
  <r>
    <x v="770"/>
    <x v="85"/>
    <s v="19:40"/>
    <x v="0"/>
    <s v="Washing Liquid"/>
    <s v="Household"/>
    <n v="1"/>
    <n v="3.39"/>
    <s v="Yes"/>
    <n v="12"/>
    <n v="0"/>
    <n v="8"/>
    <n v="3.1"/>
    <n v="3.39"/>
  </r>
  <r>
    <x v="771"/>
    <x v="64"/>
    <s v="14:30"/>
    <x v="4"/>
    <s v="Chocolate Cookies"/>
    <s v="Bakery"/>
    <n v="1"/>
    <n v="1.44"/>
    <s v="Yes"/>
    <n v="46"/>
    <n v="0"/>
    <n v="5"/>
    <n v="3.2"/>
    <n v="1.44"/>
  </r>
  <r>
    <x v="772"/>
    <x v="68"/>
    <s v="13:20"/>
    <x v="1"/>
    <s v="Orange Juice"/>
    <s v="Drinks"/>
    <n v="1"/>
    <n v="1.89"/>
    <s v="No"/>
    <n v="38"/>
    <n v="0"/>
    <n v="9"/>
    <n v="5.8"/>
    <n v="1.89"/>
  </r>
  <r>
    <x v="773"/>
    <x v="25"/>
    <s v="16:40"/>
    <x v="5"/>
    <s v="Orange Juice"/>
    <s v="Drinks"/>
    <n v="1"/>
    <n v="1.89"/>
    <s v="No"/>
    <n v="37"/>
    <n v="0"/>
    <n v="7"/>
    <n v="1.8"/>
    <n v="1.89"/>
  </r>
  <r>
    <x v="774"/>
    <x v="63"/>
    <s v="13:25"/>
    <x v="6"/>
    <s v="Frozen Chips"/>
    <s v="Frozen"/>
    <n v="1"/>
    <n v="2.25"/>
    <s v="No"/>
    <n v="26"/>
    <n v="0"/>
    <n v="6"/>
    <n v="6.3"/>
    <n v="2.25"/>
  </r>
  <r>
    <x v="775"/>
    <x v="54"/>
    <s v="09:05"/>
    <x v="6"/>
    <s v="Bin Bags"/>
    <s v="Household"/>
    <n v="3"/>
    <n v="2.69"/>
    <s v="No"/>
    <n v="53"/>
    <n v="1"/>
    <n v="5"/>
    <n v="2.5"/>
    <n v="8.07"/>
  </r>
  <r>
    <x v="776"/>
    <x v="35"/>
    <s v="16:10"/>
    <x v="0"/>
    <s v="Frozen Pizza"/>
    <s v="Frozen"/>
    <n v="1"/>
    <n v="3.49"/>
    <s v="No"/>
    <n v="32"/>
    <n v="0"/>
    <n v="4"/>
    <n v="3.8"/>
    <n v="3.49"/>
  </r>
  <r>
    <x v="777"/>
    <x v="32"/>
    <s v="19:10"/>
    <x v="1"/>
    <s v="Greek Yogurt"/>
    <s v="Dairy"/>
    <n v="3"/>
    <n v="1.85"/>
    <s v="No"/>
    <n v="18"/>
    <n v="0"/>
    <n v="8"/>
    <n v="4.3"/>
    <n v="5.5500000000000007"/>
  </r>
  <r>
    <x v="778"/>
    <x v="14"/>
    <s v="16:30"/>
    <x v="3"/>
    <s v="Bottled Water 6pk"/>
    <s v="Drinks"/>
    <n v="2"/>
    <n v="2.4900000000000002"/>
    <s v="No"/>
    <n v="35"/>
    <n v="0"/>
    <n v="4"/>
    <n v="3.6"/>
    <n v="4.9800000000000004"/>
  </r>
  <r>
    <x v="779"/>
    <x v="5"/>
    <s v="14:00"/>
    <x v="4"/>
    <s v="Milk 2L"/>
    <s v="Dairy"/>
    <n v="1"/>
    <n v="1.55"/>
    <s v="No"/>
    <n v="56"/>
    <n v="1"/>
    <n v="6"/>
    <n v="2.8"/>
    <n v="1.55"/>
  </r>
  <r>
    <x v="780"/>
    <x v="41"/>
    <s v="13:30"/>
    <x v="5"/>
    <s v="Frozen Pizza"/>
    <s v="Frozen"/>
    <n v="2"/>
    <n v="2.97"/>
    <s v="Yes"/>
    <n v="39"/>
    <n v="0"/>
    <n v="9"/>
    <n v="3.9"/>
    <n v="5.94"/>
  </r>
  <r>
    <x v="781"/>
    <x v="14"/>
    <s v="08:40"/>
    <x v="3"/>
    <s v="Croissants"/>
    <s v="Bakery"/>
    <n v="4"/>
    <n v="1.69"/>
    <s v="Yes"/>
    <n v="33"/>
    <n v="0"/>
    <n v="6"/>
    <n v="2.2999999999999998"/>
    <n v="6.76"/>
  </r>
  <r>
    <x v="782"/>
    <x v="49"/>
    <s v="19:25"/>
    <x v="6"/>
    <s v="Cola 2L"/>
    <s v="Drinks"/>
    <n v="3"/>
    <n v="1.75"/>
    <s v="No"/>
    <n v="32"/>
    <n v="0"/>
    <n v="6"/>
    <n v="5.0999999999999996"/>
    <n v="5.25"/>
  </r>
  <r>
    <x v="783"/>
    <x v="40"/>
    <s v="09:20"/>
    <x v="6"/>
    <s v="Tomatoes"/>
    <s v="Fresh Produce"/>
    <n v="1"/>
    <n v="1.49"/>
    <s v="No"/>
    <n v="60"/>
    <n v="0"/>
    <n v="5"/>
    <n v="4"/>
    <n v="1.49"/>
  </r>
  <r>
    <x v="784"/>
    <x v="25"/>
    <s v="12:45"/>
    <x v="5"/>
    <s v="Greek Yogurt"/>
    <s v="Dairy"/>
    <n v="1"/>
    <n v="1.85"/>
    <s v="No"/>
    <n v="12"/>
    <n v="0"/>
    <n v="9"/>
    <n v="4.9000000000000004"/>
    <n v="1.85"/>
  </r>
  <r>
    <x v="785"/>
    <x v="2"/>
    <s v="13:15"/>
    <x v="2"/>
    <s v="Orange Juice"/>
    <s v="Drinks"/>
    <n v="1"/>
    <n v="1.89"/>
    <s v="No"/>
    <n v="8"/>
    <n v="0"/>
    <n v="7"/>
    <n v="5.4"/>
    <n v="1.89"/>
  </r>
  <r>
    <x v="786"/>
    <x v="31"/>
    <s v="13:20"/>
    <x v="4"/>
    <s v="Tomatoes"/>
    <s v="Fresh Produce"/>
    <n v="3"/>
    <n v="1.27"/>
    <s v="Yes"/>
    <n v="6"/>
    <n v="0"/>
    <n v="6"/>
    <n v="4.0999999999999996"/>
    <n v="3.81"/>
  </r>
  <r>
    <x v="787"/>
    <x v="79"/>
    <s v="17:00"/>
    <x v="1"/>
    <s v="Croissants"/>
    <s v="Bakery"/>
    <n v="1"/>
    <n v="1.99"/>
    <s v="No"/>
    <n v="25"/>
    <n v="0"/>
    <n v="7"/>
    <n v="6.1"/>
    <n v="1.99"/>
  </r>
  <r>
    <x v="788"/>
    <x v="47"/>
    <s v="17:35"/>
    <x v="4"/>
    <s v="Greek Yogurt"/>
    <s v="Dairy"/>
    <n v="1"/>
    <n v="1.85"/>
    <s v="No"/>
    <n v="39"/>
    <n v="0"/>
    <n v="9"/>
    <n v="5.6"/>
    <n v="1.85"/>
  </r>
  <r>
    <x v="789"/>
    <x v="47"/>
    <s v="19:45"/>
    <x v="4"/>
    <s v="Milk 2L"/>
    <s v="Dairy"/>
    <n v="2"/>
    <n v="1.55"/>
    <s v="No"/>
    <n v="60"/>
    <n v="0"/>
    <n v="9"/>
    <n v="5.4"/>
    <n v="3.1"/>
  </r>
  <r>
    <x v="790"/>
    <x v="53"/>
    <s v="15:10"/>
    <x v="4"/>
    <s v="Bottled Water 6pk"/>
    <s v="Drinks"/>
    <n v="1"/>
    <n v="2.12"/>
    <s v="Yes"/>
    <n v="46"/>
    <n v="0"/>
    <n v="7"/>
    <n v="1.1000000000000001"/>
    <n v="2.12"/>
  </r>
  <r>
    <x v="791"/>
    <x v="39"/>
    <s v="19:00"/>
    <x v="3"/>
    <s v="Ice Cream"/>
    <s v="Frozen"/>
    <n v="2"/>
    <n v="3.95"/>
    <s v="No"/>
    <n v="44"/>
    <n v="0"/>
    <n v="9"/>
    <n v="6.5"/>
    <n v="7.9"/>
  </r>
  <r>
    <x v="792"/>
    <x v="6"/>
    <s v="16:00"/>
    <x v="3"/>
    <s v="Cheddar Cheese"/>
    <s v="Dairy"/>
    <n v="1"/>
    <n v="2.79"/>
    <s v="No"/>
    <n v="24"/>
    <n v="0"/>
    <n v="4"/>
    <n v="3.4"/>
    <n v="2.79"/>
  </r>
  <r>
    <x v="793"/>
    <x v="3"/>
    <s v="15:25"/>
    <x v="3"/>
    <s v="Tomatoes"/>
    <s v="Fresh Produce"/>
    <n v="3"/>
    <n v="1.27"/>
    <s v="Yes"/>
    <n v="41"/>
    <n v="1"/>
    <n v="4"/>
    <n v="4.3"/>
    <n v="3.81"/>
  </r>
  <r>
    <x v="794"/>
    <x v="14"/>
    <s v="18:20"/>
    <x v="3"/>
    <s v="Kitchen Roll"/>
    <s v="Household"/>
    <n v="1"/>
    <n v="3.29"/>
    <s v="No"/>
    <n v="43"/>
    <n v="1"/>
    <n v="8"/>
    <n v="5.8"/>
    <n v="3.29"/>
  </r>
  <r>
    <x v="795"/>
    <x v="57"/>
    <s v="16:35"/>
    <x v="4"/>
    <s v="Cheddar Cheese"/>
    <s v="Dairy"/>
    <n v="1"/>
    <n v="2.79"/>
    <s v="No"/>
    <n v="57"/>
    <n v="0"/>
    <n v="6"/>
    <n v="2.4"/>
    <n v="2.79"/>
  </r>
  <r>
    <x v="796"/>
    <x v="67"/>
    <s v="14:20"/>
    <x v="2"/>
    <s v="Cheddar Cheese"/>
    <s v="Dairy"/>
    <n v="4"/>
    <n v="2.79"/>
    <s v="No"/>
    <n v="42"/>
    <n v="0"/>
    <n v="4"/>
    <n v="4.7"/>
    <n v="11.16"/>
  </r>
  <r>
    <x v="797"/>
    <x v="11"/>
    <s v="16:15"/>
    <x v="1"/>
    <s v="Washing Liquid"/>
    <s v="Household"/>
    <n v="3"/>
    <n v="3.99"/>
    <s v="No"/>
    <n v="34"/>
    <n v="0"/>
    <n v="7"/>
    <n v="1.4"/>
    <n v="11.97"/>
  </r>
  <r>
    <x v="798"/>
    <x v="65"/>
    <s v="13:25"/>
    <x v="3"/>
    <s v="Bin Bags"/>
    <s v="Household"/>
    <n v="1"/>
    <n v="2.69"/>
    <s v="No"/>
    <n v="50"/>
    <n v="0"/>
    <n v="7"/>
    <n v="5"/>
    <n v="2.69"/>
  </r>
  <r>
    <x v="799"/>
    <x v="63"/>
    <s v="12:35"/>
    <x v="6"/>
    <s v="Bananas"/>
    <s v="Fresh Produce"/>
    <n v="1"/>
    <n v="0.95"/>
    <s v="No"/>
    <n v="56"/>
    <n v="1"/>
    <n v="9"/>
    <n v="4.5"/>
    <n v="0.95"/>
  </r>
  <r>
    <x v="800"/>
    <x v="62"/>
    <s v="16:25"/>
    <x v="2"/>
    <s v="Bin Bags"/>
    <s v="Household"/>
    <n v="1"/>
    <n v="2.69"/>
    <s v="No"/>
    <n v="5"/>
    <n v="0"/>
    <n v="7"/>
    <n v="2.6"/>
    <n v="2.69"/>
  </r>
  <r>
    <x v="801"/>
    <x v="78"/>
    <s v="20:20"/>
    <x v="0"/>
    <s v="Kitchen Roll"/>
    <s v="Household"/>
    <n v="2"/>
    <n v="2.8"/>
    <s v="Yes"/>
    <n v="7"/>
    <n v="0"/>
    <n v="7"/>
    <n v="2.9"/>
    <n v="5.6"/>
  </r>
  <r>
    <x v="802"/>
    <x v="27"/>
    <s v="17:20"/>
    <x v="3"/>
    <s v="Cola 2L"/>
    <s v="Drinks"/>
    <n v="3"/>
    <n v="1.75"/>
    <s v="No"/>
    <n v="22"/>
    <n v="0"/>
    <n v="6"/>
    <n v="6"/>
    <n v="5.25"/>
  </r>
  <r>
    <x v="803"/>
    <x v="44"/>
    <s v="12:35"/>
    <x v="3"/>
    <s v="Milk 2L"/>
    <s v="Dairy"/>
    <n v="2"/>
    <n v="1.55"/>
    <s v="No"/>
    <n v="49"/>
    <n v="0"/>
    <n v="8"/>
    <n v="4.4000000000000004"/>
    <n v="3.1"/>
  </r>
  <r>
    <x v="804"/>
    <x v="9"/>
    <s v="18:45"/>
    <x v="0"/>
    <s v="Washing Liquid"/>
    <s v="Household"/>
    <n v="1"/>
    <n v="3.99"/>
    <s v="No"/>
    <n v="39"/>
    <n v="0"/>
    <n v="8"/>
    <n v="4.7"/>
    <n v="3.99"/>
  </r>
  <r>
    <x v="805"/>
    <x v="64"/>
    <s v="16:40"/>
    <x v="4"/>
    <s v="White Bread"/>
    <s v="Bakery"/>
    <n v="1"/>
    <n v="1.18"/>
    <s v="Yes"/>
    <n v="47"/>
    <n v="0"/>
    <n v="4"/>
    <n v="4.5"/>
    <n v="1.18"/>
  </r>
  <r>
    <x v="806"/>
    <x v="61"/>
    <s v="18:15"/>
    <x v="2"/>
    <s v="Washing Liquid"/>
    <s v="Household"/>
    <n v="3"/>
    <n v="3.99"/>
    <s v="No"/>
    <n v="10"/>
    <n v="0"/>
    <n v="8"/>
    <n v="3"/>
    <n v="11.97"/>
  </r>
  <r>
    <x v="807"/>
    <x v="75"/>
    <s v="20:20"/>
    <x v="4"/>
    <s v="Washing Liquid"/>
    <s v="Household"/>
    <n v="1"/>
    <n v="3.99"/>
    <s v="No"/>
    <n v="18"/>
    <n v="0"/>
    <n v="4"/>
    <n v="3.8"/>
    <n v="3.99"/>
  </r>
  <r>
    <x v="808"/>
    <x v="34"/>
    <s v="09:10"/>
    <x v="6"/>
    <s v="Cheddar Cheese"/>
    <s v="Dairy"/>
    <n v="1"/>
    <n v="2.79"/>
    <s v="No"/>
    <n v="50"/>
    <n v="0"/>
    <n v="4"/>
    <n v="3"/>
    <n v="2.79"/>
  </r>
  <r>
    <x v="809"/>
    <x v="17"/>
    <s v="19:40"/>
    <x v="5"/>
    <s v="Greek Yogurt"/>
    <s v="Dairy"/>
    <n v="2"/>
    <n v="1.85"/>
    <s v="No"/>
    <n v="29"/>
    <n v="0"/>
    <n v="6"/>
    <n v="4.3"/>
    <n v="3.7"/>
  </r>
  <r>
    <x v="810"/>
    <x v="36"/>
    <s v="19:20"/>
    <x v="2"/>
    <s v="Croissants"/>
    <s v="Bakery"/>
    <n v="1"/>
    <n v="1.99"/>
    <s v="No"/>
    <n v="23"/>
    <n v="1"/>
    <n v="8"/>
    <n v="4.8"/>
    <n v="1.99"/>
  </r>
  <r>
    <x v="811"/>
    <x v="79"/>
    <s v="17:30"/>
    <x v="1"/>
    <s v="Chocolate Cookies"/>
    <s v="Bakery"/>
    <n v="2"/>
    <n v="1.69"/>
    <s v="No"/>
    <n v="46"/>
    <n v="0"/>
    <n v="6"/>
    <n v="4.9000000000000004"/>
    <n v="3.38"/>
  </r>
  <r>
    <x v="812"/>
    <x v="88"/>
    <s v="16:50"/>
    <x v="0"/>
    <s v="Washing Liquid"/>
    <s v="Household"/>
    <n v="2"/>
    <n v="3.99"/>
    <s v="No"/>
    <n v="15"/>
    <n v="0"/>
    <n v="7"/>
    <n v="1.5"/>
    <n v="7.98"/>
  </r>
  <r>
    <x v="813"/>
    <x v="71"/>
    <s v="12:15"/>
    <x v="6"/>
    <s v="Bin Bags"/>
    <s v="Household"/>
    <n v="3"/>
    <n v="2.69"/>
    <s v="No"/>
    <n v="4"/>
    <n v="0"/>
    <n v="9"/>
    <n v="6"/>
    <n v="8.07"/>
  </r>
  <r>
    <x v="814"/>
    <x v="47"/>
    <s v="12:20"/>
    <x v="4"/>
    <s v="Croissants"/>
    <s v="Bakery"/>
    <n v="1"/>
    <n v="1.99"/>
    <s v="No"/>
    <n v="41"/>
    <n v="0"/>
    <n v="9"/>
    <n v="4.5"/>
    <n v="1.99"/>
  </r>
  <r>
    <x v="815"/>
    <x v="47"/>
    <s v="21:10"/>
    <x v="4"/>
    <s v="Kitchen Roll"/>
    <s v="Household"/>
    <n v="3"/>
    <n v="3.29"/>
    <s v="No"/>
    <n v="55"/>
    <n v="0"/>
    <n v="6"/>
    <n v="1.3"/>
    <n v="9.870000000000001"/>
  </r>
  <r>
    <x v="816"/>
    <x v="68"/>
    <s v="16:40"/>
    <x v="1"/>
    <s v="Cheddar Cheese"/>
    <s v="Dairy"/>
    <n v="1"/>
    <n v="2.37"/>
    <s v="Yes"/>
    <n v="3"/>
    <n v="0"/>
    <n v="5"/>
    <n v="3.9"/>
    <n v="2.37"/>
  </r>
  <r>
    <x v="817"/>
    <x v="68"/>
    <s v="13:50"/>
    <x v="1"/>
    <s v="Apples"/>
    <s v="Fresh Produce"/>
    <n v="3"/>
    <n v="1.79"/>
    <s v="No"/>
    <n v="28"/>
    <n v="2"/>
    <n v="8"/>
    <n v="5"/>
    <n v="5.37"/>
  </r>
  <r>
    <x v="818"/>
    <x v="22"/>
    <s v="07:30"/>
    <x v="2"/>
    <s v="Tomatoes"/>
    <s v="Fresh Produce"/>
    <n v="3"/>
    <n v="1.27"/>
    <s v="Yes"/>
    <n v="54"/>
    <n v="0"/>
    <n v="6"/>
    <n v="2.5"/>
    <n v="3.81"/>
  </r>
  <r>
    <x v="819"/>
    <x v="11"/>
    <s v="12:15"/>
    <x v="1"/>
    <s v="Frozen Chips"/>
    <s v="Frozen"/>
    <n v="1"/>
    <n v="2.25"/>
    <s v="No"/>
    <n v="5"/>
    <n v="0"/>
    <n v="8"/>
    <n v="4.2"/>
    <n v="2.25"/>
  </r>
  <r>
    <x v="820"/>
    <x v="38"/>
    <s v="07:10"/>
    <x v="1"/>
    <s v="Bananas"/>
    <s v="Fresh Produce"/>
    <n v="3"/>
    <n v="0.81"/>
    <s v="Yes"/>
    <n v="41"/>
    <n v="0"/>
    <n v="4"/>
    <n v="3.7"/>
    <n v="2.4300000000000002"/>
  </r>
  <r>
    <x v="821"/>
    <x v="76"/>
    <s v="18:45"/>
    <x v="4"/>
    <s v="Frozen Chips"/>
    <s v="Frozen"/>
    <n v="1"/>
    <n v="2.25"/>
    <s v="No"/>
    <n v="10"/>
    <n v="0"/>
    <n v="8"/>
    <n v="5.0999999999999996"/>
    <n v="2.25"/>
  </r>
  <r>
    <x v="822"/>
    <x v="17"/>
    <s v="13:15"/>
    <x v="5"/>
    <s v="Ice Cream"/>
    <s v="Frozen"/>
    <n v="1"/>
    <n v="3.36"/>
    <s v="Yes"/>
    <n v="39"/>
    <n v="0"/>
    <n v="6"/>
    <n v="3.9"/>
    <n v="3.36"/>
  </r>
  <r>
    <x v="823"/>
    <x v="11"/>
    <s v="12:40"/>
    <x v="1"/>
    <s v="Ice Cream"/>
    <s v="Frozen"/>
    <n v="1"/>
    <n v="3.95"/>
    <s v="No"/>
    <n v="30"/>
    <n v="0"/>
    <n v="6"/>
    <n v="5.6"/>
    <n v="3.95"/>
  </r>
  <r>
    <x v="824"/>
    <x v="83"/>
    <s v="17:00"/>
    <x v="6"/>
    <s v="Cola 2L"/>
    <s v="Drinks"/>
    <n v="1"/>
    <n v="1.75"/>
    <s v="No"/>
    <n v="30"/>
    <n v="0"/>
    <n v="8"/>
    <n v="4.4000000000000004"/>
    <n v="1.75"/>
  </r>
  <r>
    <x v="825"/>
    <x v="78"/>
    <s v="18:15"/>
    <x v="0"/>
    <s v="Orange Juice"/>
    <s v="Drinks"/>
    <n v="1"/>
    <n v="1.89"/>
    <s v="No"/>
    <n v="18"/>
    <n v="0"/>
    <n v="9"/>
    <n v="3.6"/>
    <n v="1.89"/>
  </r>
  <r>
    <x v="826"/>
    <x v="25"/>
    <s v="10:35"/>
    <x v="5"/>
    <s v="Washing Liquid"/>
    <s v="Household"/>
    <n v="1"/>
    <n v="3.99"/>
    <s v="No"/>
    <n v="16"/>
    <n v="0"/>
    <n v="6"/>
    <n v="3"/>
    <n v="3.99"/>
  </r>
  <r>
    <x v="827"/>
    <x v="40"/>
    <s v="17:05"/>
    <x v="6"/>
    <s v="White Bread"/>
    <s v="Bakery"/>
    <n v="2"/>
    <n v="1.39"/>
    <s v="No"/>
    <n v="50"/>
    <n v="0"/>
    <n v="9"/>
    <n v="3.4"/>
    <n v="2.78"/>
  </r>
  <r>
    <x v="828"/>
    <x v="89"/>
    <s v="16:15"/>
    <x v="2"/>
    <s v="Bananas"/>
    <s v="Fresh Produce"/>
    <n v="2"/>
    <n v="0.95"/>
    <s v="No"/>
    <n v="58"/>
    <n v="3"/>
    <n v="5"/>
    <n v="3.5"/>
    <n v="1.9"/>
  </r>
  <r>
    <x v="829"/>
    <x v="58"/>
    <s v="17:10"/>
    <x v="3"/>
    <s v="Frozen Chips"/>
    <s v="Frozen"/>
    <n v="1"/>
    <n v="2.25"/>
    <s v="No"/>
    <n v="21"/>
    <n v="0"/>
    <n v="9"/>
    <n v="4.4000000000000004"/>
    <n v="2.25"/>
  </r>
  <r>
    <x v="830"/>
    <x v="75"/>
    <s v="16:55"/>
    <x v="4"/>
    <s v="Kitchen Roll"/>
    <s v="Household"/>
    <n v="2"/>
    <n v="2.8"/>
    <s v="Yes"/>
    <n v="55"/>
    <n v="1"/>
    <n v="4"/>
    <n v="2.5"/>
    <n v="5.6"/>
  </r>
  <r>
    <x v="831"/>
    <x v="46"/>
    <s v="20:20"/>
    <x v="2"/>
    <s v="Cheddar Cheese"/>
    <s v="Dairy"/>
    <n v="1"/>
    <n v="2.79"/>
    <s v="No"/>
    <n v="32"/>
    <n v="0"/>
    <n v="7"/>
    <n v="2.2000000000000002"/>
    <n v="2.79"/>
  </r>
  <r>
    <x v="832"/>
    <x v="36"/>
    <s v="20:30"/>
    <x v="2"/>
    <s v="Orange Juice"/>
    <s v="Drinks"/>
    <n v="1"/>
    <n v="1.89"/>
    <s v="No"/>
    <n v="27"/>
    <n v="0"/>
    <n v="5"/>
    <n v="3.5"/>
    <n v="1.89"/>
  </r>
  <r>
    <x v="833"/>
    <x v="4"/>
    <s v="18:15"/>
    <x v="4"/>
    <s v="Chocolate Cookies"/>
    <s v="Bakery"/>
    <n v="1"/>
    <n v="1.69"/>
    <s v="No"/>
    <n v="43"/>
    <n v="0"/>
    <n v="8"/>
    <n v="4.5"/>
    <n v="1.69"/>
  </r>
  <r>
    <x v="834"/>
    <x v="77"/>
    <s v="13:15"/>
    <x v="3"/>
    <s v="Frozen Pizza"/>
    <s v="Frozen"/>
    <n v="1"/>
    <n v="2.97"/>
    <s v="Yes"/>
    <n v="14"/>
    <n v="0"/>
    <n v="8"/>
    <n v="4.5"/>
    <n v="2.97"/>
  </r>
  <r>
    <x v="835"/>
    <x v="10"/>
    <s v="17:40"/>
    <x v="3"/>
    <s v="Croissants"/>
    <s v="Bakery"/>
    <n v="1"/>
    <n v="1.99"/>
    <s v="No"/>
    <n v="19"/>
    <n v="0"/>
    <n v="6"/>
    <n v="3.4"/>
    <n v="1.99"/>
  </r>
  <r>
    <x v="836"/>
    <x v="3"/>
    <s v="13:55"/>
    <x v="3"/>
    <s v="White Bread"/>
    <s v="Bakery"/>
    <n v="3"/>
    <n v="1.39"/>
    <s v="No"/>
    <n v="32"/>
    <n v="0"/>
    <n v="9"/>
    <n v="5"/>
    <n v="4.17"/>
  </r>
  <r>
    <x v="837"/>
    <x v="4"/>
    <s v="16:50"/>
    <x v="4"/>
    <s v="Washing Liquid"/>
    <s v="Household"/>
    <n v="3"/>
    <n v="3.99"/>
    <s v="No"/>
    <n v="4"/>
    <n v="0"/>
    <n v="5"/>
    <n v="3.4"/>
    <n v="11.97"/>
  </r>
  <r>
    <x v="838"/>
    <x v="71"/>
    <s v="14:20"/>
    <x v="6"/>
    <s v="Kitchen Roll"/>
    <s v="Household"/>
    <n v="3"/>
    <n v="3.29"/>
    <s v="No"/>
    <n v="37"/>
    <n v="0"/>
    <n v="5"/>
    <n v="3"/>
    <n v="9.870000000000001"/>
  </r>
  <r>
    <x v="839"/>
    <x v="26"/>
    <s v="15:10"/>
    <x v="1"/>
    <s v="Cola 2L"/>
    <s v="Drinks"/>
    <n v="1"/>
    <n v="1.75"/>
    <s v="No"/>
    <n v="17"/>
    <n v="0"/>
    <n v="5"/>
    <n v="4.2"/>
    <n v="1.75"/>
  </r>
  <r>
    <x v="840"/>
    <x v="71"/>
    <s v="14:35"/>
    <x v="6"/>
    <s v="Apples"/>
    <s v="Fresh Produce"/>
    <n v="1"/>
    <n v="1.52"/>
    <s v="Yes"/>
    <n v="29"/>
    <n v="0"/>
    <n v="4"/>
    <n v="3.6"/>
    <n v="1.52"/>
  </r>
  <r>
    <x v="841"/>
    <x v="25"/>
    <s v="12:40"/>
    <x v="5"/>
    <s v="White Bread"/>
    <s v="Bakery"/>
    <n v="2"/>
    <n v="1.39"/>
    <s v="No"/>
    <n v="39"/>
    <n v="1"/>
    <n v="7"/>
    <n v="4.2"/>
    <n v="2.78"/>
  </r>
  <r>
    <x v="842"/>
    <x v="44"/>
    <s v="17:50"/>
    <x v="3"/>
    <s v="Tomatoes"/>
    <s v="Fresh Produce"/>
    <n v="2"/>
    <n v="1.49"/>
    <s v="No"/>
    <n v="10"/>
    <n v="0"/>
    <n v="8"/>
    <n v="4.7"/>
    <n v="2.98"/>
  </r>
  <r>
    <x v="843"/>
    <x v="57"/>
    <s v="17:50"/>
    <x v="4"/>
    <s v="Apples"/>
    <s v="Fresh Produce"/>
    <n v="3"/>
    <n v="1.79"/>
    <s v="No"/>
    <n v="19"/>
    <n v="0"/>
    <n v="8"/>
    <n v="6.2"/>
    <n v="5.37"/>
  </r>
  <r>
    <x v="844"/>
    <x v="19"/>
    <s v="16:50"/>
    <x v="6"/>
    <s v="Greek Yogurt"/>
    <s v="Dairy"/>
    <n v="1"/>
    <n v="1.85"/>
    <s v="No"/>
    <n v="52"/>
    <n v="0"/>
    <n v="7"/>
    <n v="1.2"/>
    <n v="1.85"/>
  </r>
  <r>
    <x v="845"/>
    <x v="84"/>
    <s v="14:40"/>
    <x v="1"/>
    <s v="Cola 2L"/>
    <s v="Drinks"/>
    <n v="1"/>
    <n v="1.49"/>
    <s v="Yes"/>
    <n v="44"/>
    <n v="0"/>
    <n v="7"/>
    <n v="1"/>
    <n v="1.49"/>
  </r>
  <r>
    <x v="846"/>
    <x v="60"/>
    <s v="19:00"/>
    <x v="4"/>
    <s v="Cola 2L"/>
    <s v="Drinks"/>
    <n v="2"/>
    <n v="1.49"/>
    <s v="Yes"/>
    <n v="53"/>
    <n v="0"/>
    <n v="8"/>
    <n v="4.3"/>
    <n v="2.98"/>
  </r>
  <r>
    <x v="847"/>
    <x v="0"/>
    <s v="15:30"/>
    <x v="0"/>
    <s v="Frozen Pizza"/>
    <s v="Frozen"/>
    <n v="2"/>
    <n v="2.97"/>
    <s v="Yes"/>
    <n v="29"/>
    <n v="0"/>
    <n v="5"/>
    <n v="3.6"/>
    <n v="5.94"/>
  </r>
  <r>
    <x v="848"/>
    <x v="87"/>
    <s v="09:30"/>
    <x v="0"/>
    <s v="Apples"/>
    <s v="Fresh Produce"/>
    <n v="1"/>
    <n v="1.79"/>
    <s v="No"/>
    <n v="17"/>
    <n v="0"/>
    <n v="4"/>
    <n v="4.9000000000000004"/>
    <n v="1.79"/>
  </r>
  <r>
    <x v="849"/>
    <x v="61"/>
    <s v="18:35"/>
    <x v="2"/>
    <s v="Milk 2L"/>
    <s v="Dairy"/>
    <n v="2"/>
    <n v="1.55"/>
    <s v="No"/>
    <n v="18"/>
    <n v="0"/>
    <n v="9"/>
    <n v="5.4"/>
    <n v="3.1"/>
  </r>
  <r>
    <x v="850"/>
    <x v="42"/>
    <s v="13:10"/>
    <x v="5"/>
    <s v="Bin Bags"/>
    <s v="Household"/>
    <n v="2"/>
    <n v="2.29"/>
    <s v="Yes"/>
    <n v="24"/>
    <n v="0"/>
    <n v="6"/>
    <n v="4.5"/>
    <n v="4.58"/>
  </r>
  <r>
    <x v="851"/>
    <x v="13"/>
    <s v="08:40"/>
    <x v="6"/>
    <s v="Washing Liquid"/>
    <s v="Household"/>
    <n v="1"/>
    <n v="3.99"/>
    <s v="No"/>
    <n v="24"/>
    <n v="1"/>
    <n v="6"/>
    <n v="1.8"/>
    <n v="3.99"/>
  </r>
  <r>
    <x v="852"/>
    <x v="59"/>
    <s v="19:05"/>
    <x v="6"/>
    <s v="Kitchen Roll"/>
    <s v="Household"/>
    <n v="2"/>
    <n v="3.29"/>
    <s v="No"/>
    <n v="53"/>
    <n v="0"/>
    <n v="6"/>
    <n v="6.6"/>
    <n v="6.58"/>
  </r>
  <r>
    <x v="853"/>
    <x v="56"/>
    <s v="19:45"/>
    <x v="5"/>
    <s v="Apples"/>
    <s v="Fresh Produce"/>
    <n v="1"/>
    <n v="1.79"/>
    <s v="No"/>
    <n v="52"/>
    <n v="0"/>
    <n v="6"/>
    <n v="3.8"/>
    <n v="1.79"/>
  </r>
  <r>
    <x v="854"/>
    <x v="55"/>
    <s v="08:55"/>
    <x v="3"/>
    <s v="Ice Cream"/>
    <s v="Frozen"/>
    <n v="2"/>
    <n v="3.36"/>
    <s v="Yes"/>
    <n v="29"/>
    <n v="0"/>
    <n v="7"/>
    <n v="2.6"/>
    <n v="6.72"/>
  </r>
  <r>
    <x v="855"/>
    <x v="7"/>
    <s v="13:05"/>
    <x v="1"/>
    <s v="Bin Bags"/>
    <s v="Household"/>
    <n v="1"/>
    <n v="2.69"/>
    <s v="No"/>
    <n v="14"/>
    <n v="0"/>
    <n v="7"/>
    <n v="5.7"/>
    <n v="2.69"/>
  </r>
  <r>
    <x v="856"/>
    <x v="29"/>
    <s v="13:00"/>
    <x v="5"/>
    <s v="Orange Juice"/>
    <s v="Drinks"/>
    <n v="4"/>
    <n v="1.89"/>
    <s v="No"/>
    <n v="57"/>
    <n v="0"/>
    <n v="6"/>
    <n v="4.3"/>
    <n v="7.56"/>
  </r>
  <r>
    <x v="857"/>
    <x v="63"/>
    <s v="18:10"/>
    <x v="6"/>
    <s v="Bottled Water 6pk"/>
    <s v="Drinks"/>
    <n v="1"/>
    <n v="2.4900000000000002"/>
    <s v="No"/>
    <n v="23"/>
    <n v="0"/>
    <n v="6"/>
    <n v="5"/>
    <n v="2.4900000000000002"/>
  </r>
  <r>
    <x v="858"/>
    <x v="76"/>
    <s v="16:35"/>
    <x v="4"/>
    <s v="White Bread"/>
    <s v="Bakery"/>
    <n v="1"/>
    <n v="1.39"/>
    <s v="No"/>
    <n v="11"/>
    <n v="0"/>
    <n v="7"/>
    <n v="3"/>
    <n v="1.39"/>
  </r>
  <r>
    <x v="859"/>
    <x v="10"/>
    <s v="13:30"/>
    <x v="3"/>
    <s v="Frozen Pizza"/>
    <s v="Frozen"/>
    <n v="3"/>
    <n v="3.49"/>
    <s v="No"/>
    <n v="56"/>
    <n v="0"/>
    <n v="8"/>
    <n v="3.1"/>
    <n v="10.47"/>
  </r>
  <r>
    <x v="860"/>
    <x v="10"/>
    <s v="09:00"/>
    <x v="3"/>
    <s v="Cola 2L"/>
    <s v="Drinks"/>
    <n v="1"/>
    <n v="1.75"/>
    <s v="No"/>
    <n v="55"/>
    <n v="0"/>
    <n v="6"/>
    <n v="2.2000000000000002"/>
    <n v="1.75"/>
  </r>
  <r>
    <x v="861"/>
    <x v="24"/>
    <s v="12:25"/>
    <x v="6"/>
    <s v="Chocolate Cookies"/>
    <s v="Bakery"/>
    <n v="2"/>
    <n v="1.69"/>
    <s v="No"/>
    <n v="16"/>
    <n v="0"/>
    <n v="7"/>
    <n v="3.8"/>
    <n v="3.38"/>
  </r>
  <r>
    <x v="862"/>
    <x v="10"/>
    <s v="13:10"/>
    <x v="3"/>
    <s v="Frozen Pizza"/>
    <s v="Frozen"/>
    <n v="1"/>
    <n v="3.49"/>
    <s v="No"/>
    <n v="27"/>
    <n v="0"/>
    <n v="7"/>
    <n v="4.5999999999999996"/>
    <n v="3.49"/>
  </r>
  <r>
    <x v="863"/>
    <x v="9"/>
    <s v="14:05"/>
    <x v="0"/>
    <s v="Cola 2L"/>
    <s v="Drinks"/>
    <n v="3"/>
    <n v="1.49"/>
    <s v="Yes"/>
    <n v="19"/>
    <n v="0"/>
    <n v="4"/>
    <n v="4"/>
    <n v="4.47"/>
  </r>
  <r>
    <x v="864"/>
    <x v="82"/>
    <s v="14:10"/>
    <x v="0"/>
    <s v="Orange Juice"/>
    <s v="Drinks"/>
    <n v="1"/>
    <n v="1.89"/>
    <s v="No"/>
    <n v="53"/>
    <n v="0"/>
    <n v="6"/>
    <n v="1"/>
    <n v="1.89"/>
  </r>
  <r>
    <x v="865"/>
    <x v="74"/>
    <s v="14:35"/>
    <x v="0"/>
    <s v="Milk 2L"/>
    <s v="Dairy"/>
    <n v="2"/>
    <n v="1.55"/>
    <s v="No"/>
    <n v="21"/>
    <n v="0"/>
    <n v="7"/>
    <n v="2.2999999999999998"/>
    <n v="3.1"/>
  </r>
  <r>
    <x v="866"/>
    <x v="21"/>
    <s v="12:40"/>
    <x v="5"/>
    <s v="Bottled Water 6pk"/>
    <s v="Drinks"/>
    <n v="3"/>
    <n v="2.4900000000000002"/>
    <s v="No"/>
    <n v="28"/>
    <n v="0"/>
    <n v="9"/>
    <n v="4.5"/>
    <n v="7.4700000000000006"/>
  </r>
  <r>
    <x v="867"/>
    <x v="2"/>
    <s v="12:00"/>
    <x v="2"/>
    <s v="Washing Liquid"/>
    <s v="Household"/>
    <n v="1"/>
    <n v="3.99"/>
    <s v="No"/>
    <n v="55"/>
    <n v="0"/>
    <n v="8"/>
    <n v="3.6"/>
    <n v="3.99"/>
  </r>
  <r>
    <x v="868"/>
    <x v="63"/>
    <s v="16:20"/>
    <x v="6"/>
    <s v="Washing Liquid"/>
    <s v="Household"/>
    <n v="3"/>
    <n v="3.39"/>
    <s v="Yes"/>
    <n v="16"/>
    <n v="0"/>
    <n v="6"/>
    <n v="1.6"/>
    <n v="10.17"/>
  </r>
  <r>
    <x v="869"/>
    <x v="33"/>
    <s v="14:25"/>
    <x v="2"/>
    <s v="Frozen Pizza"/>
    <s v="Frozen"/>
    <n v="1"/>
    <n v="3.49"/>
    <s v="No"/>
    <n v="34"/>
    <n v="0"/>
    <n v="5"/>
    <n v="4.3"/>
    <n v="3.49"/>
  </r>
  <r>
    <x v="870"/>
    <x v="42"/>
    <s v="19:20"/>
    <x v="5"/>
    <s v="Frozen Pizza"/>
    <s v="Frozen"/>
    <n v="1"/>
    <n v="3.49"/>
    <s v="No"/>
    <n v="16"/>
    <n v="0"/>
    <n v="6"/>
    <n v="3.4"/>
    <n v="3.49"/>
  </r>
  <r>
    <x v="871"/>
    <x v="30"/>
    <s v="18:35"/>
    <x v="0"/>
    <s v="Frozen Chips"/>
    <s v="Frozen"/>
    <n v="2"/>
    <n v="2.25"/>
    <s v="No"/>
    <n v="45"/>
    <n v="0"/>
    <n v="7"/>
    <n v="5.9"/>
    <n v="4.5"/>
  </r>
  <r>
    <x v="872"/>
    <x v="77"/>
    <s v="19:45"/>
    <x v="3"/>
    <s v="White Bread"/>
    <s v="Bakery"/>
    <n v="1"/>
    <n v="1.39"/>
    <s v="No"/>
    <n v="16"/>
    <n v="0"/>
    <n v="8"/>
    <n v="3.4"/>
    <n v="1.39"/>
  </r>
  <r>
    <x v="873"/>
    <x v="66"/>
    <s v="16:00"/>
    <x v="2"/>
    <s v="Cola 2L"/>
    <s v="Drinks"/>
    <n v="2"/>
    <n v="1.75"/>
    <s v="No"/>
    <n v="36"/>
    <n v="0"/>
    <n v="6"/>
    <n v="1.7"/>
    <n v="3.5"/>
  </r>
  <r>
    <x v="874"/>
    <x v="55"/>
    <s v="18:20"/>
    <x v="3"/>
    <s v="Milk 2L"/>
    <s v="Dairy"/>
    <n v="3"/>
    <n v="1.32"/>
    <s v="Yes"/>
    <n v="27"/>
    <n v="0"/>
    <n v="6"/>
    <n v="5.4"/>
    <n v="3.96"/>
  </r>
  <r>
    <x v="875"/>
    <x v="89"/>
    <s v="18:00"/>
    <x v="2"/>
    <s v="Kitchen Roll"/>
    <s v="Household"/>
    <n v="2"/>
    <n v="3.29"/>
    <s v="No"/>
    <n v="26"/>
    <n v="0"/>
    <n v="6"/>
    <n v="5.3"/>
    <n v="6.58"/>
  </r>
  <r>
    <x v="876"/>
    <x v="82"/>
    <s v="07:20"/>
    <x v="0"/>
    <s v="Frozen Chips"/>
    <s v="Frozen"/>
    <n v="1"/>
    <n v="2.25"/>
    <s v="No"/>
    <n v="57"/>
    <n v="0"/>
    <n v="4"/>
    <n v="4.5999999999999996"/>
    <n v="2.25"/>
  </r>
  <r>
    <x v="877"/>
    <x v="35"/>
    <s v="17:50"/>
    <x v="0"/>
    <s v="Ice Cream"/>
    <s v="Frozen"/>
    <n v="4"/>
    <n v="3.36"/>
    <s v="Yes"/>
    <n v="16"/>
    <n v="0"/>
    <n v="6"/>
    <n v="3"/>
    <n v="13.44"/>
  </r>
  <r>
    <x v="878"/>
    <x v="2"/>
    <s v="17:10"/>
    <x v="2"/>
    <s v="Milk 2L"/>
    <s v="Dairy"/>
    <n v="2"/>
    <n v="1.55"/>
    <s v="No"/>
    <n v="47"/>
    <n v="0"/>
    <n v="9"/>
    <n v="6"/>
    <n v="3.1"/>
  </r>
  <r>
    <x v="879"/>
    <x v="80"/>
    <s v="17:45"/>
    <x v="0"/>
    <s v="Chocolate Cookies"/>
    <s v="Bakery"/>
    <n v="2"/>
    <n v="1.69"/>
    <s v="No"/>
    <n v="17"/>
    <n v="1"/>
    <n v="9"/>
    <n v="4.5999999999999996"/>
    <n v="3.38"/>
  </r>
  <r>
    <x v="880"/>
    <x v="68"/>
    <s v="16:10"/>
    <x v="1"/>
    <s v="Ice Cream"/>
    <s v="Frozen"/>
    <n v="2"/>
    <n v="3.95"/>
    <s v="No"/>
    <n v="24"/>
    <n v="1"/>
    <n v="5"/>
    <n v="4.5999999999999996"/>
    <n v="7.9"/>
  </r>
  <r>
    <x v="881"/>
    <x v="39"/>
    <s v="14:45"/>
    <x v="3"/>
    <s v="Washing Liquid"/>
    <s v="Household"/>
    <n v="1"/>
    <n v="3.99"/>
    <s v="No"/>
    <n v="18"/>
    <n v="0"/>
    <n v="6"/>
    <n v="1.5"/>
    <n v="3.99"/>
  </r>
  <r>
    <x v="882"/>
    <x v="24"/>
    <s v="18:40"/>
    <x v="6"/>
    <s v="Orange Juice"/>
    <s v="Drinks"/>
    <n v="2"/>
    <n v="1.61"/>
    <s v="Yes"/>
    <n v="10"/>
    <n v="0"/>
    <n v="6"/>
    <n v="6.1"/>
    <n v="3.22"/>
  </r>
  <r>
    <x v="883"/>
    <x v="50"/>
    <s v="09:50"/>
    <x v="3"/>
    <s v="Bananas"/>
    <s v="Fresh Produce"/>
    <n v="1"/>
    <n v="0.95"/>
    <s v="No"/>
    <n v="47"/>
    <n v="2"/>
    <n v="4"/>
    <n v="3.4"/>
    <n v="0.95"/>
  </r>
  <r>
    <x v="884"/>
    <x v="70"/>
    <s v="13:10"/>
    <x v="4"/>
    <s v="Apples"/>
    <s v="Fresh Produce"/>
    <n v="1"/>
    <n v="1.79"/>
    <s v="No"/>
    <n v="16"/>
    <n v="3"/>
    <n v="8"/>
    <n v="5.7"/>
    <n v="1.79"/>
  </r>
  <r>
    <x v="885"/>
    <x v="36"/>
    <s v="18:20"/>
    <x v="2"/>
    <s v="White Bread"/>
    <s v="Bakery"/>
    <n v="1"/>
    <n v="1.39"/>
    <s v="No"/>
    <n v="57"/>
    <n v="0"/>
    <n v="7"/>
    <n v="3.7"/>
    <n v="1.39"/>
  </r>
  <r>
    <x v="886"/>
    <x v="65"/>
    <s v="14:10"/>
    <x v="3"/>
    <s v="Bananas"/>
    <s v="Fresh Produce"/>
    <n v="1"/>
    <n v="0.95"/>
    <s v="No"/>
    <n v="10"/>
    <n v="0"/>
    <n v="4"/>
    <n v="4.2"/>
    <n v="0.95"/>
  </r>
  <r>
    <x v="887"/>
    <x v="48"/>
    <s v="19:10"/>
    <x v="5"/>
    <s v="Greek Yogurt"/>
    <s v="Dairy"/>
    <n v="1"/>
    <n v="1.85"/>
    <s v="No"/>
    <n v="57"/>
    <n v="0"/>
    <n v="7"/>
    <n v="5.2"/>
    <n v="1.85"/>
  </r>
  <r>
    <x v="888"/>
    <x v="64"/>
    <s v="10:35"/>
    <x v="4"/>
    <s v="Cheddar Cheese"/>
    <s v="Dairy"/>
    <n v="1"/>
    <n v="2.79"/>
    <s v="No"/>
    <n v="3"/>
    <n v="0"/>
    <n v="7"/>
    <n v="1.5"/>
    <n v="2.79"/>
  </r>
  <r>
    <x v="889"/>
    <x v="6"/>
    <s v="12:00"/>
    <x v="3"/>
    <s v="Frozen Pizza"/>
    <s v="Frozen"/>
    <n v="2"/>
    <n v="3.49"/>
    <s v="No"/>
    <n v="8"/>
    <n v="0"/>
    <n v="7"/>
    <n v="2.8"/>
    <n v="6.98"/>
  </r>
  <r>
    <x v="890"/>
    <x v="85"/>
    <s v="08:20"/>
    <x v="0"/>
    <s v="Apples"/>
    <s v="Fresh Produce"/>
    <n v="1"/>
    <n v="1.52"/>
    <s v="Yes"/>
    <n v="5"/>
    <n v="1"/>
    <n v="6"/>
    <n v="2.7"/>
    <n v="1.52"/>
  </r>
  <r>
    <x v="891"/>
    <x v="59"/>
    <s v="12:05"/>
    <x v="6"/>
    <s v="Bananas"/>
    <s v="Fresh Produce"/>
    <n v="1"/>
    <n v="0.95"/>
    <s v="No"/>
    <n v="20"/>
    <n v="0"/>
    <n v="6"/>
    <n v="4.7"/>
    <n v="0.95"/>
  </r>
  <r>
    <x v="892"/>
    <x v="8"/>
    <s v="13:05"/>
    <x v="0"/>
    <s v="Milk 2L"/>
    <s v="Dairy"/>
    <n v="3"/>
    <n v="1.32"/>
    <s v="Yes"/>
    <n v="58"/>
    <n v="0"/>
    <n v="6"/>
    <n v="4.9000000000000004"/>
    <n v="3.96"/>
  </r>
  <r>
    <x v="893"/>
    <x v="13"/>
    <s v="14:40"/>
    <x v="6"/>
    <s v="Bin Bags"/>
    <s v="Household"/>
    <n v="2"/>
    <n v="2.69"/>
    <s v="No"/>
    <n v="54"/>
    <n v="0"/>
    <n v="6"/>
    <n v="1.8"/>
    <n v="5.38"/>
  </r>
  <r>
    <x v="894"/>
    <x v="15"/>
    <s v="16:50"/>
    <x v="2"/>
    <s v="Bottled Water 6pk"/>
    <s v="Drinks"/>
    <n v="1"/>
    <n v="2.4900000000000002"/>
    <s v="No"/>
    <n v="3"/>
    <n v="1"/>
    <n v="6"/>
    <n v="2.2999999999999998"/>
    <n v="2.4900000000000002"/>
  </r>
  <r>
    <x v="895"/>
    <x v="64"/>
    <s v="14:35"/>
    <x v="4"/>
    <s v="Ice Cream"/>
    <s v="Frozen"/>
    <n v="2"/>
    <n v="3.95"/>
    <s v="No"/>
    <n v="52"/>
    <n v="0"/>
    <n v="7"/>
    <n v="2.1"/>
    <n v="7.9"/>
  </r>
  <r>
    <x v="896"/>
    <x v="19"/>
    <s v="17:20"/>
    <x v="6"/>
    <s v="Bananas"/>
    <s v="Fresh Produce"/>
    <n v="3"/>
    <n v="0.95"/>
    <s v="No"/>
    <n v="50"/>
    <n v="1"/>
    <n v="8"/>
    <n v="4.2"/>
    <n v="2.8499999999999996"/>
  </r>
  <r>
    <x v="897"/>
    <x v="24"/>
    <s v="14:20"/>
    <x v="6"/>
    <s v="White Bread"/>
    <s v="Bakery"/>
    <n v="2"/>
    <n v="1.39"/>
    <s v="No"/>
    <n v="44"/>
    <n v="0"/>
    <n v="4"/>
    <n v="4.5"/>
    <n v="2.78"/>
  </r>
  <r>
    <x v="898"/>
    <x v="20"/>
    <s v="16:40"/>
    <x v="5"/>
    <s v="White Bread"/>
    <s v="Bakery"/>
    <n v="1"/>
    <n v="1.39"/>
    <s v="No"/>
    <n v="38"/>
    <n v="0"/>
    <n v="4"/>
    <n v="4.8"/>
    <n v="1.39"/>
  </r>
  <r>
    <x v="899"/>
    <x v="0"/>
    <s v="13:15"/>
    <x v="0"/>
    <s v="Bin Bags"/>
    <s v="Household"/>
    <n v="1"/>
    <n v="2.69"/>
    <s v="No"/>
    <n v="35"/>
    <n v="0"/>
    <n v="8"/>
    <n v="2.8"/>
    <n v="2.69"/>
  </r>
  <r>
    <x v="900"/>
    <x v="20"/>
    <s v="07:25"/>
    <x v="5"/>
    <s v="Tomatoes"/>
    <s v="Fresh Produce"/>
    <n v="2"/>
    <n v="1.49"/>
    <s v="No"/>
    <n v="53"/>
    <n v="0"/>
    <n v="7"/>
    <n v="1.1000000000000001"/>
    <n v="2.98"/>
  </r>
  <r>
    <x v="901"/>
    <x v="61"/>
    <s v="12:30"/>
    <x v="2"/>
    <s v="Bin Bags"/>
    <s v="Household"/>
    <n v="2"/>
    <n v="2.69"/>
    <s v="No"/>
    <n v="59"/>
    <n v="0"/>
    <n v="9"/>
    <n v="5.5"/>
    <n v="5.38"/>
  </r>
  <r>
    <x v="902"/>
    <x v="64"/>
    <s v="14:20"/>
    <x v="4"/>
    <s v="Ice Cream"/>
    <s v="Frozen"/>
    <n v="2"/>
    <n v="3.95"/>
    <s v="No"/>
    <n v="12"/>
    <n v="1"/>
    <n v="7"/>
    <n v="1.1000000000000001"/>
    <n v="7.9"/>
  </r>
  <r>
    <x v="903"/>
    <x v="3"/>
    <s v="14:05"/>
    <x v="3"/>
    <s v="Milk 2L"/>
    <s v="Dairy"/>
    <n v="2"/>
    <n v="1.55"/>
    <s v="No"/>
    <n v="6"/>
    <n v="0"/>
    <n v="5"/>
    <n v="2.8"/>
    <n v="3.1"/>
  </r>
  <r>
    <x v="904"/>
    <x v="51"/>
    <s v="18:55"/>
    <x v="5"/>
    <s v="Washing Liquid"/>
    <s v="Household"/>
    <n v="2"/>
    <n v="3.99"/>
    <s v="No"/>
    <n v="55"/>
    <n v="0"/>
    <n v="9"/>
    <n v="5.0999999999999996"/>
    <n v="7.98"/>
  </r>
  <r>
    <x v="905"/>
    <x v="12"/>
    <s v="13:05"/>
    <x v="5"/>
    <s v="Apples"/>
    <s v="Fresh Produce"/>
    <n v="1"/>
    <n v="1.79"/>
    <s v="No"/>
    <n v="4"/>
    <n v="0"/>
    <n v="6"/>
    <n v="6"/>
    <n v="1.79"/>
  </r>
  <r>
    <x v="906"/>
    <x v="0"/>
    <s v="12:10"/>
    <x v="0"/>
    <s v="Bottled Water 6pk"/>
    <s v="Drinks"/>
    <n v="1"/>
    <n v="2.4900000000000002"/>
    <s v="No"/>
    <n v="34"/>
    <n v="0"/>
    <n v="9"/>
    <n v="5.8"/>
    <n v="2.4900000000000002"/>
  </r>
  <r>
    <x v="907"/>
    <x v="78"/>
    <s v="11:00"/>
    <x v="0"/>
    <s v="White Bread"/>
    <s v="Bakery"/>
    <n v="2"/>
    <n v="1.39"/>
    <s v="No"/>
    <n v="43"/>
    <n v="0"/>
    <n v="5"/>
    <n v="3.9"/>
    <n v="2.78"/>
  </r>
  <r>
    <x v="908"/>
    <x v="82"/>
    <s v="12:35"/>
    <x v="0"/>
    <s v="Apples"/>
    <s v="Fresh Produce"/>
    <n v="1"/>
    <n v="1.79"/>
    <s v="No"/>
    <n v="49"/>
    <n v="0"/>
    <n v="6"/>
    <n v="3.2"/>
    <n v="1.79"/>
  </r>
  <r>
    <x v="909"/>
    <x v="69"/>
    <s v="12:05"/>
    <x v="2"/>
    <s v="Kitchen Roll"/>
    <s v="Household"/>
    <n v="1"/>
    <n v="2.8"/>
    <s v="Yes"/>
    <n v="60"/>
    <n v="1"/>
    <n v="8"/>
    <n v="3.8"/>
    <n v="2.8"/>
  </r>
  <r>
    <x v="910"/>
    <x v="25"/>
    <s v="14:55"/>
    <x v="5"/>
    <s v="Apples"/>
    <s v="Fresh Produce"/>
    <n v="1"/>
    <n v="1.79"/>
    <s v="No"/>
    <n v="39"/>
    <n v="0"/>
    <n v="7"/>
    <n v="2.9"/>
    <n v="1.79"/>
  </r>
  <r>
    <x v="911"/>
    <x v="61"/>
    <s v="17:15"/>
    <x v="2"/>
    <s v="White Bread"/>
    <s v="Bakery"/>
    <n v="1"/>
    <n v="1.39"/>
    <s v="No"/>
    <n v="10"/>
    <n v="0"/>
    <n v="6"/>
    <n v="3.2"/>
    <n v="1.39"/>
  </r>
  <r>
    <x v="912"/>
    <x v="68"/>
    <s v="13:05"/>
    <x v="1"/>
    <s v="Croissants"/>
    <s v="Bakery"/>
    <n v="3"/>
    <n v="1.99"/>
    <s v="No"/>
    <n v="25"/>
    <n v="0"/>
    <n v="8"/>
    <n v="4.5"/>
    <n v="5.97"/>
  </r>
  <r>
    <x v="913"/>
    <x v="47"/>
    <s v="14:20"/>
    <x v="4"/>
    <s v="Cheddar Cheese"/>
    <s v="Dairy"/>
    <n v="3"/>
    <n v="2.79"/>
    <s v="No"/>
    <n v="36"/>
    <n v="1"/>
    <n v="7"/>
    <n v="1.1000000000000001"/>
    <n v="8.370000000000001"/>
  </r>
  <r>
    <x v="914"/>
    <x v="86"/>
    <s v="10:40"/>
    <x v="6"/>
    <s v="Frozen Chips"/>
    <s v="Frozen"/>
    <n v="2"/>
    <n v="1.91"/>
    <s v="Yes"/>
    <n v="16"/>
    <n v="0"/>
    <n v="7"/>
    <n v="1.6"/>
    <n v="3.82"/>
  </r>
  <r>
    <x v="915"/>
    <x v="29"/>
    <s v="10:30"/>
    <x v="5"/>
    <s v="Croissants"/>
    <s v="Bakery"/>
    <n v="2"/>
    <n v="1.99"/>
    <s v="No"/>
    <n v="28"/>
    <n v="1"/>
    <n v="7"/>
    <n v="2.5"/>
    <n v="3.98"/>
  </r>
  <r>
    <x v="916"/>
    <x v="75"/>
    <s v="17:40"/>
    <x v="4"/>
    <s v="Cheddar Cheese"/>
    <s v="Dairy"/>
    <n v="1"/>
    <n v="2.79"/>
    <s v="No"/>
    <n v="52"/>
    <n v="0"/>
    <n v="9"/>
    <n v="4.0999999999999996"/>
    <n v="2.79"/>
  </r>
  <r>
    <x v="917"/>
    <x v="10"/>
    <s v="14:25"/>
    <x v="3"/>
    <s v="Tomatoes"/>
    <s v="Fresh Produce"/>
    <n v="2"/>
    <n v="1.49"/>
    <s v="No"/>
    <n v="18"/>
    <n v="2"/>
    <n v="7"/>
    <n v="2.2000000000000002"/>
    <n v="2.98"/>
  </r>
  <r>
    <x v="918"/>
    <x v="42"/>
    <s v="12:00"/>
    <x v="5"/>
    <s v="Orange Juice"/>
    <s v="Drinks"/>
    <n v="2"/>
    <n v="1.61"/>
    <s v="Yes"/>
    <n v="36"/>
    <n v="0"/>
    <n v="8"/>
    <n v="5.8"/>
    <n v="3.22"/>
  </r>
  <r>
    <x v="919"/>
    <x v="29"/>
    <s v="14:05"/>
    <x v="5"/>
    <s v="Ice Cream"/>
    <s v="Frozen"/>
    <n v="1"/>
    <n v="3.95"/>
    <s v="No"/>
    <n v="21"/>
    <n v="0"/>
    <n v="4"/>
    <n v="4.7"/>
    <n v="3.95"/>
  </r>
  <r>
    <x v="920"/>
    <x v="0"/>
    <s v="13:05"/>
    <x v="0"/>
    <s v="Orange Juice"/>
    <s v="Drinks"/>
    <n v="3"/>
    <n v="1.89"/>
    <s v="No"/>
    <n v="9"/>
    <n v="0"/>
    <n v="6"/>
    <n v="4.0999999999999996"/>
    <n v="5.67"/>
  </r>
  <r>
    <x v="921"/>
    <x v="69"/>
    <s v="17:15"/>
    <x v="2"/>
    <s v="Orange Juice"/>
    <s v="Drinks"/>
    <n v="1"/>
    <n v="1.61"/>
    <s v="Yes"/>
    <n v="18"/>
    <n v="0"/>
    <n v="8"/>
    <n v="6.9"/>
    <n v="1.61"/>
  </r>
  <r>
    <x v="922"/>
    <x v="46"/>
    <s v="17:00"/>
    <x v="2"/>
    <s v="White Bread"/>
    <s v="Bakery"/>
    <n v="2"/>
    <n v="1.18"/>
    <s v="Yes"/>
    <n v="55"/>
    <n v="0"/>
    <n v="8"/>
    <n v="5.9"/>
    <n v="2.36"/>
  </r>
  <r>
    <x v="923"/>
    <x v="86"/>
    <s v="09:10"/>
    <x v="6"/>
    <s v="Greek Yogurt"/>
    <s v="Dairy"/>
    <n v="1"/>
    <n v="1.85"/>
    <s v="No"/>
    <n v="29"/>
    <n v="0"/>
    <n v="4"/>
    <n v="4.3"/>
    <n v="1.85"/>
  </r>
  <r>
    <x v="924"/>
    <x v="59"/>
    <s v="08:50"/>
    <x v="6"/>
    <s v="Bin Bags"/>
    <s v="Household"/>
    <n v="1"/>
    <n v="2.69"/>
    <s v="No"/>
    <n v="24"/>
    <n v="0"/>
    <n v="5"/>
    <n v="3.2"/>
    <n v="2.69"/>
  </r>
  <r>
    <x v="925"/>
    <x v="47"/>
    <s v="12:25"/>
    <x v="4"/>
    <s v="Bananas"/>
    <s v="Fresh Produce"/>
    <n v="2"/>
    <n v="0.81"/>
    <s v="Yes"/>
    <n v="19"/>
    <n v="1"/>
    <n v="7"/>
    <n v="5.5"/>
    <n v="1.62"/>
  </r>
  <r>
    <x v="926"/>
    <x v="16"/>
    <s v="13:10"/>
    <x v="1"/>
    <s v="Croissants"/>
    <s v="Bakery"/>
    <n v="1"/>
    <n v="1.69"/>
    <s v="Yes"/>
    <n v="46"/>
    <n v="0"/>
    <n v="7"/>
    <n v="4.5999999999999996"/>
    <n v="1.69"/>
  </r>
  <r>
    <x v="927"/>
    <x v="27"/>
    <s v="13:10"/>
    <x v="3"/>
    <s v="Chocolate Cookies"/>
    <s v="Bakery"/>
    <n v="1"/>
    <n v="1.44"/>
    <s v="Yes"/>
    <n v="29"/>
    <n v="0"/>
    <n v="8"/>
    <n v="5.5"/>
    <n v="1.44"/>
  </r>
  <r>
    <x v="928"/>
    <x v="1"/>
    <s v="12:35"/>
    <x v="1"/>
    <s v="White Bread"/>
    <s v="Bakery"/>
    <n v="3"/>
    <n v="1.18"/>
    <s v="Yes"/>
    <n v="35"/>
    <n v="0"/>
    <n v="7"/>
    <n v="4.7"/>
    <n v="3.54"/>
  </r>
  <r>
    <x v="929"/>
    <x v="69"/>
    <s v="16:50"/>
    <x v="2"/>
    <s v="White Bread"/>
    <s v="Bakery"/>
    <n v="2"/>
    <n v="1.39"/>
    <s v="No"/>
    <n v="21"/>
    <n v="0"/>
    <n v="6"/>
    <n v="1.7"/>
    <n v="2.78"/>
  </r>
  <r>
    <x v="930"/>
    <x v="42"/>
    <s v="14:50"/>
    <x v="5"/>
    <s v="Milk 2L"/>
    <s v="Dairy"/>
    <n v="1"/>
    <n v="1.55"/>
    <s v="No"/>
    <n v="20"/>
    <n v="0"/>
    <n v="4"/>
    <n v="3.2"/>
    <n v="1.55"/>
  </r>
  <r>
    <x v="931"/>
    <x v="54"/>
    <s v="14:35"/>
    <x v="6"/>
    <s v="Tomatoes"/>
    <s v="Fresh Produce"/>
    <n v="2"/>
    <n v="1.49"/>
    <s v="No"/>
    <n v="24"/>
    <n v="3"/>
    <n v="5"/>
    <n v="3.4"/>
    <n v="2.98"/>
  </r>
  <r>
    <x v="932"/>
    <x v="51"/>
    <s v="19:25"/>
    <x v="5"/>
    <s v="Milk 2L"/>
    <s v="Dairy"/>
    <n v="1"/>
    <n v="1.55"/>
    <s v="No"/>
    <n v="36"/>
    <n v="0"/>
    <n v="7"/>
    <n v="5.3"/>
    <n v="1.55"/>
  </r>
  <r>
    <x v="933"/>
    <x v="13"/>
    <s v="20:30"/>
    <x v="6"/>
    <s v="Kitchen Roll"/>
    <s v="Household"/>
    <n v="1"/>
    <n v="2.8"/>
    <s v="Yes"/>
    <n v="40"/>
    <n v="0"/>
    <n v="4"/>
    <n v="4.2"/>
    <n v="2.8"/>
  </r>
  <r>
    <x v="934"/>
    <x v="70"/>
    <s v="17:00"/>
    <x v="4"/>
    <s v="Washing Liquid"/>
    <s v="Household"/>
    <n v="2"/>
    <n v="3.99"/>
    <s v="No"/>
    <n v="13"/>
    <n v="0"/>
    <n v="9"/>
    <n v="5.5"/>
    <n v="7.98"/>
  </r>
  <r>
    <x v="935"/>
    <x v="23"/>
    <s v="16:50"/>
    <x v="2"/>
    <s v="Ice Cream"/>
    <s v="Frozen"/>
    <n v="1"/>
    <n v="3.95"/>
    <s v="No"/>
    <n v="20"/>
    <n v="0"/>
    <n v="5"/>
    <n v="4"/>
    <n v="3.95"/>
  </r>
  <r>
    <x v="936"/>
    <x v="29"/>
    <s v="11:45"/>
    <x v="5"/>
    <s v="Frozen Chips"/>
    <s v="Frozen"/>
    <n v="1"/>
    <n v="2.25"/>
    <s v="No"/>
    <n v="7"/>
    <n v="0"/>
    <n v="5"/>
    <n v="3.1"/>
    <n v="2.25"/>
  </r>
  <r>
    <x v="937"/>
    <x v="39"/>
    <s v="20:05"/>
    <x v="3"/>
    <s v="Croissants"/>
    <s v="Bakery"/>
    <n v="3"/>
    <n v="1.99"/>
    <s v="No"/>
    <n v="33"/>
    <n v="1"/>
    <n v="5"/>
    <n v="4.8"/>
    <n v="5.97"/>
  </r>
  <r>
    <x v="938"/>
    <x v="9"/>
    <s v="14:15"/>
    <x v="0"/>
    <s v="Cola 2L"/>
    <s v="Drinks"/>
    <n v="2"/>
    <n v="1.75"/>
    <s v="No"/>
    <n v="8"/>
    <n v="0"/>
    <n v="4"/>
    <n v="3.9"/>
    <n v="3.5"/>
  </r>
  <r>
    <x v="939"/>
    <x v="73"/>
    <s v="18:10"/>
    <x v="5"/>
    <s v="Cola 2L"/>
    <s v="Drinks"/>
    <n v="1"/>
    <n v="1.49"/>
    <s v="Yes"/>
    <n v="38"/>
    <n v="0"/>
    <n v="9"/>
    <n v="4.8"/>
    <n v="1.49"/>
  </r>
  <r>
    <x v="940"/>
    <x v="5"/>
    <s v="18:05"/>
    <x v="4"/>
    <s v="Cola 2L"/>
    <s v="Drinks"/>
    <n v="1"/>
    <n v="1.75"/>
    <s v="No"/>
    <n v="9"/>
    <n v="0"/>
    <n v="7"/>
    <n v="5.4"/>
    <n v="1.75"/>
  </r>
  <r>
    <x v="941"/>
    <x v="46"/>
    <s v="19:45"/>
    <x v="2"/>
    <s v="Chocolate Cookies"/>
    <s v="Bakery"/>
    <n v="2"/>
    <n v="1.69"/>
    <s v="No"/>
    <n v="4"/>
    <n v="0"/>
    <n v="7"/>
    <n v="4.5999999999999996"/>
    <n v="3.38"/>
  </r>
  <r>
    <x v="942"/>
    <x v="66"/>
    <s v="12:15"/>
    <x v="2"/>
    <s v="Tomatoes"/>
    <s v="Fresh Produce"/>
    <n v="4"/>
    <n v="1.27"/>
    <s v="Yes"/>
    <n v="5"/>
    <n v="0"/>
    <n v="8"/>
    <n v="5.4"/>
    <n v="5.08"/>
  </r>
  <r>
    <x v="943"/>
    <x v="27"/>
    <s v="17:40"/>
    <x v="3"/>
    <s v="Milk 2L"/>
    <s v="Dairy"/>
    <n v="1"/>
    <n v="1.55"/>
    <s v="No"/>
    <n v="35"/>
    <n v="0"/>
    <n v="8"/>
    <n v="4.9000000000000004"/>
    <n v="1.55"/>
  </r>
  <r>
    <x v="944"/>
    <x v="64"/>
    <s v="13:55"/>
    <x v="4"/>
    <s v="Milk 2L"/>
    <s v="Dairy"/>
    <n v="1"/>
    <n v="1.55"/>
    <s v="No"/>
    <n v="25"/>
    <n v="0"/>
    <n v="8"/>
    <n v="6.4"/>
    <n v="1.55"/>
  </r>
  <r>
    <x v="945"/>
    <x v="50"/>
    <s v="13:05"/>
    <x v="3"/>
    <s v="Greek Yogurt"/>
    <s v="Dairy"/>
    <n v="1"/>
    <n v="1.85"/>
    <s v="No"/>
    <n v="54"/>
    <n v="0"/>
    <n v="7"/>
    <n v="6.1"/>
    <n v="1.85"/>
  </r>
  <r>
    <x v="946"/>
    <x v="38"/>
    <s v="17:25"/>
    <x v="1"/>
    <s v="Ice Cream"/>
    <s v="Frozen"/>
    <n v="2"/>
    <n v="3.95"/>
    <s v="No"/>
    <n v="44"/>
    <n v="0"/>
    <n v="7"/>
    <n v="5.4"/>
    <n v="7.9"/>
  </r>
  <r>
    <x v="947"/>
    <x v="24"/>
    <s v="18:05"/>
    <x v="6"/>
    <s v="Bottled Water 6pk"/>
    <s v="Drinks"/>
    <n v="1"/>
    <n v="2.4900000000000002"/>
    <s v="No"/>
    <n v="7"/>
    <n v="0"/>
    <n v="7"/>
    <n v="6.5"/>
    <n v="2.4900000000000002"/>
  </r>
  <r>
    <x v="948"/>
    <x v="55"/>
    <s v="21:50"/>
    <x v="3"/>
    <s v="Bin Bags"/>
    <s v="Household"/>
    <n v="1"/>
    <n v="2.69"/>
    <s v="No"/>
    <n v="22"/>
    <n v="0"/>
    <n v="4"/>
    <n v="2.9"/>
    <n v="2.69"/>
  </r>
  <r>
    <x v="949"/>
    <x v="1"/>
    <s v="19:25"/>
    <x v="1"/>
    <s v="Bottled Water 6pk"/>
    <s v="Drinks"/>
    <n v="1"/>
    <n v="2.4900000000000002"/>
    <s v="No"/>
    <n v="35"/>
    <n v="0"/>
    <n v="7"/>
    <n v="4.0999999999999996"/>
    <n v="2.4900000000000002"/>
  </r>
  <r>
    <x v="950"/>
    <x v="12"/>
    <s v="13:20"/>
    <x v="5"/>
    <s v="White Bread"/>
    <s v="Bakery"/>
    <n v="1"/>
    <n v="1.18"/>
    <s v="Yes"/>
    <n v="18"/>
    <n v="0"/>
    <n v="8"/>
    <n v="5.7"/>
    <n v="1.18"/>
  </r>
  <r>
    <x v="951"/>
    <x v="4"/>
    <s v="19:35"/>
    <x v="4"/>
    <s v="Frozen Chips"/>
    <s v="Frozen"/>
    <n v="3"/>
    <n v="2.25"/>
    <s v="No"/>
    <n v="12"/>
    <n v="0"/>
    <n v="6"/>
    <n v="4.5"/>
    <n v="6.75"/>
  </r>
  <r>
    <x v="952"/>
    <x v="74"/>
    <s v="17:20"/>
    <x v="0"/>
    <s v="Ice Cream"/>
    <s v="Frozen"/>
    <n v="2"/>
    <n v="3.95"/>
    <s v="No"/>
    <n v="7"/>
    <n v="0"/>
    <n v="6"/>
    <n v="4.0999999999999996"/>
    <n v="7.9"/>
  </r>
  <r>
    <x v="953"/>
    <x v="17"/>
    <s v="11:35"/>
    <x v="5"/>
    <s v="Bottled Water 6pk"/>
    <s v="Drinks"/>
    <n v="1"/>
    <n v="2.4900000000000002"/>
    <s v="No"/>
    <n v="24"/>
    <n v="0"/>
    <n v="7"/>
    <n v="1.4"/>
    <n v="2.4900000000000002"/>
  </r>
  <r>
    <x v="954"/>
    <x v="18"/>
    <s v="17:30"/>
    <x v="1"/>
    <s v="Croissants"/>
    <s v="Bakery"/>
    <n v="2"/>
    <n v="1.69"/>
    <s v="Yes"/>
    <n v="13"/>
    <n v="2"/>
    <n v="8"/>
    <n v="5.3"/>
    <n v="3.38"/>
  </r>
  <r>
    <x v="955"/>
    <x v="14"/>
    <s v="19:35"/>
    <x v="3"/>
    <s v="Cola 2L"/>
    <s v="Drinks"/>
    <n v="1"/>
    <n v="1.49"/>
    <s v="Yes"/>
    <n v="46"/>
    <n v="0"/>
    <n v="8"/>
    <n v="4.5"/>
    <n v="1.49"/>
  </r>
  <r>
    <x v="956"/>
    <x v="88"/>
    <s v="19:45"/>
    <x v="0"/>
    <s v="Tomatoes"/>
    <s v="Fresh Produce"/>
    <n v="1"/>
    <n v="1.49"/>
    <s v="No"/>
    <n v="46"/>
    <n v="3"/>
    <n v="7"/>
    <n v="6.2"/>
    <n v="1.49"/>
  </r>
  <r>
    <x v="957"/>
    <x v="42"/>
    <s v="16:15"/>
    <x v="5"/>
    <s v="Cheddar Cheese"/>
    <s v="Dairy"/>
    <n v="1"/>
    <n v="2.37"/>
    <s v="Yes"/>
    <n v="12"/>
    <n v="0"/>
    <n v="6"/>
    <n v="1.1000000000000001"/>
    <n v="2.37"/>
  </r>
  <r>
    <x v="958"/>
    <x v="20"/>
    <s v="19:15"/>
    <x v="5"/>
    <s v="Milk 2L"/>
    <s v="Dairy"/>
    <n v="1"/>
    <n v="1.32"/>
    <s v="Yes"/>
    <n v="57"/>
    <n v="0"/>
    <n v="6"/>
    <n v="6.3"/>
    <n v="1.32"/>
  </r>
  <r>
    <x v="959"/>
    <x v="53"/>
    <s v="17:20"/>
    <x v="4"/>
    <s v="Frozen Pizza"/>
    <s v="Frozen"/>
    <n v="1"/>
    <n v="3.49"/>
    <s v="No"/>
    <n v="47"/>
    <n v="0"/>
    <n v="7"/>
    <n v="4.0999999999999996"/>
    <n v="3.49"/>
  </r>
  <r>
    <x v="960"/>
    <x v="52"/>
    <s v="12:00"/>
    <x v="5"/>
    <s v="Chocolate Cookies"/>
    <s v="Bakery"/>
    <n v="3"/>
    <n v="1.69"/>
    <s v="No"/>
    <n v="47"/>
    <n v="0"/>
    <n v="8"/>
    <n v="4.8"/>
    <n v="5.07"/>
  </r>
  <r>
    <x v="961"/>
    <x v="36"/>
    <s v="19:25"/>
    <x v="2"/>
    <s v="Croissants"/>
    <s v="Bakery"/>
    <n v="1"/>
    <n v="1.99"/>
    <s v="No"/>
    <n v="14"/>
    <n v="0"/>
    <n v="6"/>
    <n v="4.2"/>
    <n v="1.99"/>
  </r>
  <r>
    <x v="962"/>
    <x v="0"/>
    <s v="16:25"/>
    <x v="0"/>
    <s v="Croissants"/>
    <s v="Bakery"/>
    <n v="1"/>
    <n v="1.99"/>
    <s v="No"/>
    <n v="14"/>
    <n v="0"/>
    <n v="7"/>
    <n v="2.5"/>
    <n v="1.99"/>
  </r>
  <r>
    <x v="963"/>
    <x v="88"/>
    <s v="19:30"/>
    <x v="0"/>
    <s v="Kitchen Roll"/>
    <s v="Household"/>
    <n v="1"/>
    <n v="3.29"/>
    <s v="No"/>
    <n v="15"/>
    <n v="0"/>
    <n v="8"/>
    <n v="6.3"/>
    <n v="3.29"/>
  </r>
  <r>
    <x v="964"/>
    <x v="46"/>
    <s v="17:00"/>
    <x v="2"/>
    <s v="Orange Juice"/>
    <s v="Drinks"/>
    <n v="1"/>
    <n v="1.89"/>
    <s v="No"/>
    <n v="21"/>
    <n v="0"/>
    <n v="9"/>
    <n v="3.9"/>
    <n v="1.89"/>
  </r>
  <r>
    <x v="965"/>
    <x v="26"/>
    <s v="20:55"/>
    <x v="1"/>
    <s v="Bananas"/>
    <s v="Fresh Produce"/>
    <n v="1"/>
    <n v="0.95"/>
    <s v="No"/>
    <n v="36"/>
    <n v="0"/>
    <n v="5"/>
    <n v="3.3"/>
    <n v="0.95"/>
  </r>
  <r>
    <x v="966"/>
    <x v="51"/>
    <s v="13:10"/>
    <x v="5"/>
    <s v="Bananas"/>
    <s v="Fresh Produce"/>
    <n v="2"/>
    <n v="0.95"/>
    <s v="No"/>
    <n v="27"/>
    <n v="1"/>
    <n v="7"/>
    <n v="4.4000000000000004"/>
    <n v="1.9"/>
  </r>
  <r>
    <x v="967"/>
    <x v="38"/>
    <s v="18:55"/>
    <x v="1"/>
    <s v="Frozen Pizza"/>
    <s v="Frozen"/>
    <n v="1"/>
    <n v="2.97"/>
    <s v="Yes"/>
    <n v="8"/>
    <n v="0"/>
    <n v="9"/>
    <n v="2.7"/>
    <n v="2.97"/>
  </r>
  <r>
    <x v="968"/>
    <x v="23"/>
    <s v="17:00"/>
    <x v="2"/>
    <s v="Bottled Water 6pk"/>
    <s v="Drinks"/>
    <n v="1"/>
    <n v="2.12"/>
    <s v="Yes"/>
    <n v="39"/>
    <n v="0"/>
    <n v="8"/>
    <n v="3.6"/>
    <n v="2.12"/>
  </r>
  <r>
    <x v="969"/>
    <x v="40"/>
    <s v="16:15"/>
    <x v="6"/>
    <s v="Orange Juice"/>
    <s v="Drinks"/>
    <n v="2"/>
    <n v="1.89"/>
    <s v="No"/>
    <n v="44"/>
    <n v="0"/>
    <n v="7"/>
    <n v="2.1"/>
    <n v="3.78"/>
  </r>
  <r>
    <x v="970"/>
    <x v="36"/>
    <s v="12:50"/>
    <x v="2"/>
    <s v="Bottled Water 6pk"/>
    <s v="Drinks"/>
    <n v="2"/>
    <n v="2.12"/>
    <s v="Yes"/>
    <n v="59"/>
    <n v="0"/>
    <n v="8"/>
    <n v="5.3"/>
    <n v="4.24"/>
  </r>
  <r>
    <x v="971"/>
    <x v="50"/>
    <s v="18:05"/>
    <x v="3"/>
    <s v="Bananas"/>
    <s v="Fresh Produce"/>
    <n v="1"/>
    <n v="0.95"/>
    <s v="No"/>
    <n v="41"/>
    <n v="3"/>
    <n v="9"/>
    <n v="2.8"/>
    <n v="0.95"/>
  </r>
  <r>
    <x v="972"/>
    <x v="50"/>
    <s v="19:20"/>
    <x v="3"/>
    <s v="Croissants"/>
    <s v="Bakery"/>
    <n v="1"/>
    <n v="1.99"/>
    <s v="No"/>
    <n v="41"/>
    <n v="0"/>
    <n v="7"/>
    <n v="3.4"/>
    <n v="1.99"/>
  </r>
  <r>
    <x v="973"/>
    <x v="48"/>
    <s v="18:20"/>
    <x v="5"/>
    <s v="Bananas"/>
    <s v="Fresh Produce"/>
    <n v="1"/>
    <n v="0.95"/>
    <s v="No"/>
    <n v="32"/>
    <n v="0"/>
    <n v="7"/>
    <n v="4.5"/>
    <n v="0.95"/>
  </r>
  <r>
    <x v="974"/>
    <x v="22"/>
    <s v="19:20"/>
    <x v="2"/>
    <s v="Bananas"/>
    <s v="Fresh Produce"/>
    <n v="3"/>
    <n v="0.95"/>
    <s v="No"/>
    <n v="55"/>
    <n v="0"/>
    <n v="6"/>
    <n v="5.0999999999999996"/>
    <n v="2.8499999999999996"/>
  </r>
  <r>
    <x v="975"/>
    <x v="59"/>
    <s v="13:40"/>
    <x v="6"/>
    <s v="Chocolate Cookies"/>
    <s v="Bakery"/>
    <n v="3"/>
    <n v="1.69"/>
    <s v="No"/>
    <n v="37"/>
    <n v="0"/>
    <n v="9"/>
    <n v="5.2"/>
    <n v="5.07"/>
  </r>
  <r>
    <x v="976"/>
    <x v="82"/>
    <s v="17:00"/>
    <x v="0"/>
    <s v="Milk 2L"/>
    <s v="Dairy"/>
    <n v="3"/>
    <n v="1.55"/>
    <s v="No"/>
    <n v="10"/>
    <n v="0"/>
    <n v="9"/>
    <n v="4.2"/>
    <n v="4.6500000000000004"/>
  </r>
  <r>
    <x v="977"/>
    <x v="16"/>
    <s v="13:25"/>
    <x v="1"/>
    <s v="Ice Cream"/>
    <s v="Frozen"/>
    <n v="1"/>
    <n v="3.36"/>
    <s v="Yes"/>
    <n v="57"/>
    <n v="1"/>
    <n v="6"/>
    <n v="6.3"/>
    <n v="3.36"/>
  </r>
  <r>
    <x v="978"/>
    <x v="17"/>
    <s v="19:05"/>
    <x v="5"/>
    <s v="Tomatoes"/>
    <s v="Fresh Produce"/>
    <n v="1"/>
    <n v="1.27"/>
    <s v="Yes"/>
    <n v="17"/>
    <n v="0"/>
    <n v="8"/>
    <n v="5.5"/>
    <n v="1.27"/>
  </r>
  <r>
    <x v="979"/>
    <x v="71"/>
    <s v="18:10"/>
    <x v="6"/>
    <s v="Kitchen Roll"/>
    <s v="Household"/>
    <n v="1"/>
    <n v="3.29"/>
    <s v="No"/>
    <n v="31"/>
    <n v="0"/>
    <n v="6"/>
    <n v="3.3"/>
    <n v="3.29"/>
  </r>
  <r>
    <x v="980"/>
    <x v="74"/>
    <s v="18:15"/>
    <x v="0"/>
    <s v="Chocolate Cookies"/>
    <s v="Bakery"/>
    <n v="1"/>
    <n v="1.69"/>
    <s v="No"/>
    <n v="13"/>
    <n v="0"/>
    <n v="6"/>
    <n v="3.8"/>
    <n v="1.69"/>
  </r>
  <r>
    <x v="981"/>
    <x v="76"/>
    <s v="13:30"/>
    <x v="4"/>
    <s v="Washing Liquid"/>
    <s v="Household"/>
    <n v="1"/>
    <n v="3.39"/>
    <s v="Yes"/>
    <n v="11"/>
    <n v="0"/>
    <n v="9"/>
    <n v="6.3"/>
    <n v="3.39"/>
  </r>
  <r>
    <x v="982"/>
    <x v="7"/>
    <s v="14:45"/>
    <x v="1"/>
    <s v="Cheddar Cheese"/>
    <s v="Dairy"/>
    <n v="2"/>
    <n v="2.37"/>
    <s v="Yes"/>
    <n v="16"/>
    <n v="0"/>
    <n v="6"/>
    <n v="2.7"/>
    <n v="4.74"/>
  </r>
  <r>
    <x v="983"/>
    <x v="60"/>
    <s v="13:05"/>
    <x v="4"/>
    <s v="Chocolate Cookies"/>
    <s v="Bakery"/>
    <n v="1"/>
    <n v="1.69"/>
    <s v="No"/>
    <n v="47"/>
    <n v="0"/>
    <n v="6"/>
    <n v="3.3"/>
    <n v="1.69"/>
  </r>
  <r>
    <x v="984"/>
    <x v="17"/>
    <s v="19:55"/>
    <x v="5"/>
    <s v="Ice Cream"/>
    <s v="Frozen"/>
    <n v="1"/>
    <n v="3.95"/>
    <s v="No"/>
    <n v="51"/>
    <n v="0"/>
    <n v="8"/>
    <n v="5.4"/>
    <n v="3.95"/>
  </r>
  <r>
    <x v="985"/>
    <x v="66"/>
    <s v="08:20"/>
    <x v="2"/>
    <s v="Washing Liquid"/>
    <s v="Household"/>
    <n v="4"/>
    <n v="3.99"/>
    <s v="No"/>
    <n v="45"/>
    <n v="1"/>
    <n v="5"/>
    <n v="3.5"/>
    <n v="15.96"/>
  </r>
  <r>
    <x v="986"/>
    <x v="61"/>
    <s v="17:40"/>
    <x v="2"/>
    <s v="Chocolate Cookies"/>
    <s v="Bakery"/>
    <n v="2"/>
    <n v="1.69"/>
    <s v="No"/>
    <n v="40"/>
    <n v="0"/>
    <n v="8"/>
    <n v="4.8"/>
    <n v="3.38"/>
  </r>
  <r>
    <x v="987"/>
    <x v="21"/>
    <s v="18:50"/>
    <x v="5"/>
    <s v="Bin Bags"/>
    <s v="Household"/>
    <n v="2"/>
    <n v="2.29"/>
    <s v="Yes"/>
    <n v="56"/>
    <n v="0"/>
    <n v="9"/>
    <n v="5.0999999999999996"/>
    <n v="4.58"/>
  </r>
  <r>
    <x v="988"/>
    <x v="10"/>
    <s v="13:30"/>
    <x v="3"/>
    <s v="Cheddar Cheese"/>
    <s v="Dairy"/>
    <n v="1"/>
    <n v="2.79"/>
    <s v="No"/>
    <n v="47"/>
    <n v="0"/>
    <n v="6"/>
    <n v="3.7"/>
    <n v="2.79"/>
  </r>
  <r>
    <x v="989"/>
    <x v="18"/>
    <s v="19:40"/>
    <x v="1"/>
    <s v="Washing Liquid"/>
    <s v="Household"/>
    <n v="1"/>
    <n v="3.99"/>
    <s v="No"/>
    <n v="17"/>
    <n v="0"/>
    <n v="8"/>
    <n v="4"/>
    <n v="3.99"/>
  </r>
  <r>
    <x v="990"/>
    <x v="47"/>
    <s v="12:25"/>
    <x v="4"/>
    <s v="Tomatoes"/>
    <s v="Fresh Produce"/>
    <n v="1"/>
    <n v="1.49"/>
    <s v="No"/>
    <n v="7"/>
    <n v="0"/>
    <n v="6"/>
    <n v="3.6"/>
    <n v="1.49"/>
  </r>
  <r>
    <x v="991"/>
    <x v="40"/>
    <s v="14:20"/>
    <x v="6"/>
    <s v="Bottled Water 6pk"/>
    <s v="Drinks"/>
    <n v="2"/>
    <n v="2.12"/>
    <s v="Yes"/>
    <n v="7"/>
    <n v="0"/>
    <n v="6"/>
    <n v="1.1000000000000001"/>
    <n v="4.24"/>
  </r>
  <r>
    <x v="992"/>
    <x v="32"/>
    <s v="21:50"/>
    <x v="1"/>
    <s v="Cola 2L"/>
    <s v="Drinks"/>
    <n v="4"/>
    <n v="1.75"/>
    <s v="No"/>
    <n v="46"/>
    <n v="0"/>
    <n v="7"/>
    <n v="1.3"/>
    <n v="7"/>
  </r>
  <r>
    <x v="993"/>
    <x v="19"/>
    <s v="16:25"/>
    <x v="6"/>
    <s v="White Bread"/>
    <s v="Bakery"/>
    <n v="1"/>
    <n v="1.18"/>
    <s v="Yes"/>
    <n v="25"/>
    <n v="2"/>
    <n v="6"/>
    <n v="2.4"/>
    <n v="1.18"/>
  </r>
  <r>
    <x v="994"/>
    <x v="10"/>
    <s v="13:10"/>
    <x v="3"/>
    <s v="Cola 2L"/>
    <s v="Drinks"/>
    <n v="1"/>
    <n v="1.75"/>
    <s v="No"/>
    <n v="23"/>
    <n v="0"/>
    <n v="8"/>
    <n v="5.2"/>
    <n v="1.75"/>
  </r>
  <r>
    <x v="995"/>
    <x v="30"/>
    <s v="13:25"/>
    <x v="0"/>
    <s v="Orange Juice"/>
    <s v="Drinks"/>
    <n v="3"/>
    <n v="1.89"/>
    <s v="No"/>
    <n v="22"/>
    <n v="0"/>
    <n v="8"/>
    <n v="5.5"/>
    <n v="5.67"/>
  </r>
  <r>
    <x v="996"/>
    <x v="81"/>
    <s v="17:00"/>
    <x v="1"/>
    <s v="Frozen Pizza"/>
    <s v="Frozen"/>
    <n v="1"/>
    <n v="3.49"/>
    <s v="No"/>
    <n v="18"/>
    <n v="0"/>
    <n v="6"/>
    <n v="3.3"/>
    <n v="3.49"/>
  </r>
  <r>
    <x v="997"/>
    <x v="17"/>
    <s v="18:15"/>
    <x v="5"/>
    <s v="Bottled Water 6pk"/>
    <s v="Drinks"/>
    <n v="1"/>
    <n v="2.4900000000000002"/>
    <s v="No"/>
    <n v="24"/>
    <n v="1"/>
    <n v="6"/>
    <n v="5.0999999999999996"/>
    <n v="2.4900000000000002"/>
  </r>
  <r>
    <x v="998"/>
    <x v="18"/>
    <s v="14:05"/>
    <x v="1"/>
    <s v="Chocolate Cookies"/>
    <s v="Bakery"/>
    <n v="1"/>
    <n v="1.69"/>
    <s v="No"/>
    <n v="3"/>
    <n v="0"/>
    <n v="4"/>
    <n v="3"/>
    <n v="1.69"/>
  </r>
  <r>
    <x v="999"/>
    <x v="82"/>
    <s v="15:35"/>
    <x v="0"/>
    <s v="Greek Yogurt"/>
    <s v="Dairy"/>
    <n v="3"/>
    <n v="1.85"/>
    <s v="No"/>
    <n v="31"/>
    <n v="0"/>
    <n v="7"/>
    <n v="1.4"/>
    <n v="5.550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6A141-634B-4D43-87E3-23089F785307}" name="PivotTable2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llDrilled="1" showAll="0" sortType="ascending" dataSourceSort="1" defaultAttributeDrillState="1">
      <items count="8">
        <item x="1"/>
        <item x="5"/>
        <item x="6"/>
        <item x="4"/>
        <item x="0"/>
        <item x="2"/>
        <item x="3"/>
        <item t="default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3"/>
    </i>
    <i>
      <x/>
    </i>
    <i>
      <x v="4"/>
    </i>
    <i>
      <x v="2"/>
    </i>
    <i>
      <x v="5"/>
    </i>
    <i>
      <x v="1"/>
    </i>
    <i t="grand">
      <x/>
    </i>
  </rowItems>
  <colItems count="1">
    <i/>
  </colItems>
  <dataFields count="1">
    <dataField name="Sum of Waste Quantity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Transaction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operations_starter.xlsx!RetailTransactions">
        <x15:activeTabTopLevelEntity name="[Retail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FCCB3-3E83-406A-B71C-3400F17E57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6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92">
        <item x="14"/>
        <item x="16"/>
        <item x="35"/>
        <item x="4"/>
        <item x="34"/>
        <item x="21"/>
        <item x="67"/>
        <item x="72"/>
        <item x="84"/>
        <item x="0"/>
        <item x="75"/>
        <item x="24"/>
        <item x="56"/>
        <item x="89"/>
        <item x="10"/>
        <item x="79"/>
        <item x="30"/>
        <item x="5"/>
        <item x="19"/>
        <item x="73"/>
        <item x="46"/>
        <item x="44"/>
        <item x="81"/>
        <item x="78"/>
        <item x="31"/>
        <item x="43"/>
        <item x="25"/>
        <item x="22"/>
        <item x="27"/>
        <item x="32"/>
        <item x="85"/>
        <item x="70"/>
        <item x="59"/>
        <item x="41"/>
        <item x="61"/>
        <item x="39"/>
        <item x="1"/>
        <item x="8"/>
        <item x="53"/>
        <item x="71"/>
        <item x="12"/>
        <item x="36"/>
        <item x="55"/>
        <item x="45"/>
        <item x="28"/>
        <item x="47"/>
        <item x="13"/>
        <item x="29"/>
        <item x="69"/>
        <item x="3"/>
        <item x="68"/>
        <item x="87"/>
        <item x="60"/>
        <item x="40"/>
        <item x="51"/>
        <item x="62"/>
        <item x="6"/>
        <item x="11"/>
        <item x="88"/>
        <item x="57"/>
        <item x="86"/>
        <item x="42"/>
        <item x="33"/>
        <item x="50"/>
        <item x="7"/>
        <item x="82"/>
        <item x="64"/>
        <item x="54"/>
        <item x="17"/>
        <item x="15"/>
        <item x="77"/>
        <item x="18"/>
        <item x="80"/>
        <item x="37"/>
        <item x="49"/>
        <item x="48"/>
        <item x="66"/>
        <item x="58"/>
        <item x="26"/>
        <item x="9"/>
        <item x="90"/>
        <item x="83"/>
        <item x="52"/>
        <item x="23"/>
        <item x="65"/>
        <item x="38"/>
        <item x="74"/>
        <item x="76"/>
        <item x="63"/>
        <item x="20"/>
        <item x="2"/>
        <item t="default"/>
      </items>
    </pivotField>
    <pivotField showAll="0"/>
    <pivotField axis="axisRow" showAll="0" sortType="descending">
      <items count="8">
        <item x="3"/>
        <item x="1"/>
        <item x="0"/>
        <item x="4"/>
        <item x="6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5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8">
    <i>
      <x v="5"/>
    </i>
    <i>
      <x v="1"/>
    </i>
    <i>
      <x/>
    </i>
    <i>
      <x v="6"/>
    </i>
    <i>
      <x v="3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 ID" fld="0" subtotal="count" baseField="0" baseItem="0"/>
    <dataField name="Sum of Revenue (£)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166F6D6-B044-4285-AEEB-7E31300DD113}" autoFormatId="16" applyNumberFormats="0" applyBorderFormats="0" applyFontFormats="0" applyPatternFormats="0" applyAlignmentFormats="0" applyWidthHeightFormats="0">
  <queryTableRefresh nextId="15">
    <queryTableFields count="14">
      <queryTableField id="1" name="RetailTransactions[Transaction ID]" tableColumnId="1"/>
      <queryTableField id="2" name="RetailTransactions[Date]" tableColumnId="2"/>
      <queryTableField id="3" name="RetailTransactions[Time]" tableColumnId="3"/>
      <queryTableField id="4" name="RetailTransactions[Day]" tableColumnId="4"/>
      <queryTableField id="5" name="RetailTransactions[Product]" tableColumnId="5"/>
      <queryTableField id="6" name="RetailTransactions[Category]" tableColumnId="6"/>
      <queryTableField id="7" name="RetailTransactions[Quantity]" tableColumnId="7"/>
      <queryTableField id="8" name="RetailTransactions[Unit Price (£)]" tableColumnId="8"/>
      <queryTableField id="9" name="RetailTransactions[Promotion]" tableColumnId="9"/>
      <queryTableField id="10" name="RetailTransactions[Stock Before Sale]" tableColumnId="10"/>
      <queryTableField id="11" name="RetailTransactions[Waste Quantity]" tableColumnId="11"/>
      <queryTableField id="12" name="RetailTransactions[Staff on Shift]" tableColumnId="12"/>
      <queryTableField id="13" name="RetailTransactions[Checkout Wait (mins)]" tableColumnId="13"/>
      <queryTableField id="14" name="RetailTransactions[Revenue (£)]" tableColumnId="1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87DDCC-53CC-42E2-A7A6-529902EFF944}" name="Table2" displayName="Table2" ref="A3:N345" totalsRowShown="0">
  <autoFilter ref="A3:N345" xr:uid="{9887DDCC-53CC-42E2-A7A6-529902EFF944}"/>
  <tableColumns count="14">
    <tableColumn id="1" xr3:uid="{D9A496D7-02A8-4BB4-BE62-CF25AFE222D3}" name="Transaction ID"/>
    <tableColumn id="2" xr3:uid="{61D2B7E4-A876-4840-BA3B-C7D634E57565}" name="Date" dataDxfId="2"/>
    <tableColumn id="3" xr3:uid="{A88E53FE-9FDC-434D-8059-39392F6445B8}" name="Time"/>
    <tableColumn id="4" xr3:uid="{0D142DDE-105D-4D4F-99A8-AEF2F0D1F99A}" name="Day"/>
    <tableColumn id="5" xr3:uid="{97BC971E-4B90-496C-AF7B-04042CE8D16F}" name="Product"/>
    <tableColumn id="6" xr3:uid="{BD985F28-94F6-4049-91E6-304837234393}" name="Category"/>
    <tableColumn id="7" xr3:uid="{21662DF6-0DF6-40C7-B3E7-D446715BE701}" name="Quantity"/>
    <tableColumn id="8" xr3:uid="{B9C221CF-EC0D-4CF7-A67F-53F4729E7004}" name="Unit Price (£)"/>
    <tableColumn id="9" xr3:uid="{9FA89738-2081-4E08-85F5-AF85827E6602}" name="Promotion"/>
    <tableColumn id="10" xr3:uid="{C4A7DA47-72DE-4CE3-83D5-45D53F38B3EB}" name="Stock Before Sale"/>
    <tableColumn id="11" xr3:uid="{2EAE5038-CAA4-4E57-B606-9E899BDC629F}" name="Waste Quantity"/>
    <tableColumn id="12" xr3:uid="{0E02F805-2A34-45CD-8028-8ECAFC427558}" name="Staff on Shift"/>
    <tableColumn id="13" xr3:uid="{D78146AC-2E7A-4F07-A9AA-01E7E6D1CF44}" name="Checkout Wait (mins)"/>
    <tableColumn id="14" xr3:uid="{63361B5C-F27C-46B1-9E58-4BD41041A000}" name="Revenue (£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4BDE8F-A928-4687-AABA-21F72DB03D52}" name="Table_ExternalData_1" displayName="Table_ExternalData_1" ref="A3:N177" tableType="queryTable" totalsRowShown="0">
  <autoFilter ref="A3:N177" xr:uid="{E14BDE8F-A928-4687-AABA-21F72DB03D52}"/>
  <tableColumns count="14">
    <tableColumn id="1" xr3:uid="{CC20FF34-F42A-43C5-B850-FC95CB617F80}" uniqueName="1" name="RetailTransactions[Transaction ID]" queryTableFieldId="1"/>
    <tableColumn id="2" xr3:uid="{6F033818-BFC6-468F-8C4F-2D42034CF916}" uniqueName="2" name="RetailTransactions[Date]" queryTableFieldId="2" dataDxfId="1"/>
    <tableColumn id="3" xr3:uid="{C5282669-FDF7-41F9-86DB-3156DE2DAB63}" uniqueName="3" name="RetailTransactions[Time]" queryTableFieldId="3"/>
    <tableColumn id="4" xr3:uid="{621B66F4-348C-4055-AB73-811D20AEB845}" uniqueName="4" name="RetailTransactions[Day]" queryTableFieldId="4"/>
    <tableColumn id="5" xr3:uid="{8E55808C-20C5-4866-B93E-427F4C5C8BC9}" uniqueName="5" name="RetailTransactions[Product]" queryTableFieldId="5"/>
    <tableColumn id="6" xr3:uid="{812E618E-EF8A-4E51-91E7-4E82B180E290}" uniqueName="6" name="RetailTransactions[Category]" queryTableFieldId="6"/>
    <tableColumn id="7" xr3:uid="{586CCB70-5465-4209-B1AF-40568F12CBF3}" uniqueName="7" name="RetailTransactions[Quantity]" queryTableFieldId="7"/>
    <tableColumn id="8" xr3:uid="{923BF751-1688-49C7-8F92-5BBD78E2B4EF}" uniqueName="8" name="RetailTransactions[Unit Price (£)]" queryTableFieldId="8"/>
    <tableColumn id="9" xr3:uid="{814F93A0-93B9-4998-9F44-5ED3227479A9}" uniqueName="9" name="RetailTransactions[Promotion]" queryTableFieldId="9"/>
    <tableColumn id="10" xr3:uid="{F6AEF0E3-2683-45CB-A1A1-FE5ADA3773C6}" uniqueName="10" name="RetailTransactions[Stock Before Sale]" queryTableFieldId="10"/>
    <tableColumn id="11" xr3:uid="{8FCC2B67-E960-4AB1-A2B0-C6B8518C5938}" uniqueName="11" name="RetailTransactions[Waste Quantity]" queryTableFieldId="11"/>
    <tableColumn id="12" xr3:uid="{F0E385CA-474C-4153-9F1C-A2A62B8AD752}" uniqueName="12" name="RetailTransactions[Staff on Shift]" queryTableFieldId="12"/>
    <tableColumn id="13" xr3:uid="{E320FC64-44A7-4AA4-BA94-7F747C71F563}" uniqueName="13" name="RetailTransactions[Checkout Wait (mins)]" queryTableFieldId="13"/>
    <tableColumn id="14" xr3:uid="{39F2C305-B776-4E59-AF89-5F26A2135AA4}" uniqueName="14" name="RetailTransactions[Revenue (£)]" queryTableField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Transactions" displayName="RetailTransactions" ref="A1:O1001" totalsRowShown="0">
  <tableColumns count="15">
    <tableColumn id="1" xr3:uid="{00000000-0010-0000-0000-000001000000}" name="Transaction ID"/>
    <tableColumn id="2" xr3:uid="{00000000-0010-0000-0000-000002000000}" name="Date"/>
    <tableColumn id="3" xr3:uid="{00000000-0010-0000-0000-000003000000}" name="Time"/>
    <tableColumn id="4" xr3:uid="{00000000-0010-0000-0000-000004000000}" name="Day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 Price (£)"/>
    <tableColumn id="9" xr3:uid="{00000000-0010-0000-0000-000009000000}" name="Promotion"/>
    <tableColumn id="10" xr3:uid="{00000000-0010-0000-0000-00000A000000}" name="Stock Before Sale"/>
    <tableColumn id="11" xr3:uid="{00000000-0010-0000-0000-00000B000000}" name="Waste Quantity"/>
    <tableColumn id="12" xr3:uid="{00000000-0010-0000-0000-00000C000000}" name="Staff on Shift"/>
    <tableColumn id="13" xr3:uid="{00000000-0010-0000-0000-00000D000000}" name="Checkout Wait (mins)"/>
    <tableColumn id="14" xr3:uid="{00000000-0010-0000-0000-00000E000000}" name="Revenue (£)"/>
    <tableColumn id="15" xr3:uid="{A3974626-EB97-4C9B-84ED-C31839CCAB66}" name="Hours" dataDxfId="0">
      <calculatedColumnFormula>HOUR(TIMEVALUE(RetailTransactions[[#This Row],[Time]]))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5259-4AA8-4410-8485-D5F9663B92B0}">
  <dimension ref="A3:N345"/>
  <sheetViews>
    <sheetView workbookViewId="0">
      <selection activeCell="A3" sqref="A3:N345"/>
    </sheetView>
  </sheetViews>
  <sheetFormatPr defaultRowHeight="14"/>
  <cols>
    <col min="1" max="1" width="15.33203125" bestFit="1" customWidth="1"/>
    <col min="2" max="2" width="9.75" bestFit="1" customWidth="1"/>
    <col min="3" max="3" width="8.75" bestFit="1" customWidth="1"/>
    <col min="4" max="4" width="10.25" bestFit="1" customWidth="1"/>
    <col min="5" max="5" width="16.1640625" bestFit="1" customWidth="1"/>
    <col min="6" max="6" width="12.5" bestFit="1" customWidth="1"/>
    <col min="7" max="7" width="9.9140625" bestFit="1" customWidth="1"/>
    <col min="8" max="8" width="13.75" bestFit="1" customWidth="1"/>
    <col min="9" max="9" width="11.6640625" bestFit="1" customWidth="1"/>
    <col min="10" max="10" width="18.1640625" bestFit="1" customWidth="1"/>
    <col min="11" max="11" width="15.83203125" bestFit="1" customWidth="1"/>
    <col min="12" max="12" width="13.9140625" bestFit="1" customWidth="1"/>
    <col min="13" max="13" width="21.1640625" bestFit="1" customWidth="1"/>
    <col min="14" max="14" width="13.08203125" bestFit="1" customWidth="1"/>
  </cols>
  <sheetData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>
      <c r="A4" t="s">
        <v>73</v>
      </c>
      <c r="B4" s="3">
        <v>46174</v>
      </c>
      <c r="C4" t="s">
        <v>74</v>
      </c>
      <c r="D4" t="s">
        <v>33</v>
      </c>
      <c r="E4" t="s">
        <v>17</v>
      </c>
      <c r="F4" t="s">
        <v>18</v>
      </c>
      <c r="G4">
        <v>1</v>
      </c>
      <c r="H4">
        <v>1.49</v>
      </c>
      <c r="I4" t="s">
        <v>30</v>
      </c>
      <c r="J4">
        <v>36</v>
      </c>
      <c r="K4">
        <v>0</v>
      </c>
      <c r="L4">
        <v>7</v>
      </c>
      <c r="M4">
        <v>2.8</v>
      </c>
      <c r="N4">
        <v>1.49</v>
      </c>
    </row>
    <row r="5" spans="1:14">
      <c r="A5" t="s">
        <v>1174</v>
      </c>
      <c r="B5" s="3">
        <v>46174</v>
      </c>
      <c r="C5" t="s">
        <v>297</v>
      </c>
      <c r="D5" t="s">
        <v>33</v>
      </c>
      <c r="E5" t="s">
        <v>17</v>
      </c>
      <c r="F5" t="s">
        <v>18</v>
      </c>
      <c r="G5">
        <v>1</v>
      </c>
      <c r="H5">
        <v>1.49</v>
      </c>
      <c r="I5" t="s">
        <v>30</v>
      </c>
      <c r="J5">
        <v>46</v>
      </c>
      <c r="K5">
        <v>0</v>
      </c>
      <c r="L5">
        <v>8</v>
      </c>
      <c r="M5">
        <v>4.5</v>
      </c>
      <c r="N5">
        <v>1.49</v>
      </c>
    </row>
    <row r="6" spans="1:14">
      <c r="A6" t="s">
        <v>1008</v>
      </c>
      <c r="B6" s="3">
        <v>46174</v>
      </c>
      <c r="C6" t="s">
        <v>124</v>
      </c>
      <c r="D6" t="s">
        <v>33</v>
      </c>
      <c r="E6" t="s">
        <v>28</v>
      </c>
      <c r="F6" t="s">
        <v>29</v>
      </c>
      <c r="G6">
        <v>1</v>
      </c>
      <c r="H6">
        <v>3.29</v>
      </c>
      <c r="I6" t="s">
        <v>19</v>
      </c>
      <c r="J6">
        <v>43</v>
      </c>
      <c r="K6">
        <v>1</v>
      </c>
      <c r="L6">
        <v>8</v>
      </c>
      <c r="M6">
        <v>5.8</v>
      </c>
      <c r="N6">
        <v>3.29</v>
      </c>
    </row>
    <row r="7" spans="1:14">
      <c r="A7" t="s">
        <v>995</v>
      </c>
      <c r="B7" s="3">
        <v>46174</v>
      </c>
      <c r="C7" t="s">
        <v>618</v>
      </c>
      <c r="D7" t="s">
        <v>33</v>
      </c>
      <c r="E7" t="s">
        <v>69</v>
      </c>
      <c r="F7" t="s">
        <v>43</v>
      </c>
      <c r="G7">
        <v>4</v>
      </c>
      <c r="H7">
        <v>1.69</v>
      </c>
      <c r="I7" t="s">
        <v>30</v>
      </c>
      <c r="J7">
        <v>33</v>
      </c>
      <c r="K7">
        <v>0</v>
      </c>
      <c r="L7">
        <v>6</v>
      </c>
      <c r="M7">
        <v>2.2999999999999998</v>
      </c>
      <c r="N7">
        <v>6.76</v>
      </c>
    </row>
    <row r="8" spans="1:14">
      <c r="A8" t="s">
        <v>992</v>
      </c>
      <c r="B8" s="3">
        <v>46174</v>
      </c>
      <c r="C8" t="s">
        <v>303</v>
      </c>
      <c r="D8" t="s">
        <v>33</v>
      </c>
      <c r="E8" t="s">
        <v>85</v>
      </c>
      <c r="F8" t="s">
        <v>18</v>
      </c>
      <c r="G8">
        <v>2</v>
      </c>
      <c r="H8">
        <v>2.4900000000000002</v>
      </c>
      <c r="I8" t="s">
        <v>19</v>
      </c>
      <c r="J8">
        <v>35</v>
      </c>
      <c r="K8">
        <v>0</v>
      </c>
      <c r="L8">
        <v>4</v>
      </c>
      <c r="M8">
        <v>3.6</v>
      </c>
      <c r="N8">
        <v>4.9800000000000004</v>
      </c>
    </row>
    <row r="9" spans="1:14">
      <c r="A9" t="s">
        <v>367</v>
      </c>
      <c r="B9" s="3">
        <v>46174</v>
      </c>
      <c r="C9" t="s">
        <v>89</v>
      </c>
      <c r="D9" t="s">
        <v>33</v>
      </c>
      <c r="E9" t="s">
        <v>42</v>
      </c>
      <c r="F9" t="s">
        <v>43</v>
      </c>
      <c r="G9">
        <v>1</v>
      </c>
      <c r="H9">
        <v>1.39</v>
      </c>
      <c r="I9" t="s">
        <v>19</v>
      </c>
      <c r="J9">
        <v>15</v>
      </c>
      <c r="K9">
        <v>0</v>
      </c>
      <c r="L9">
        <v>4</v>
      </c>
      <c r="M9">
        <v>4.4000000000000004</v>
      </c>
      <c r="N9">
        <v>1.39</v>
      </c>
    </row>
    <row r="10" spans="1:14">
      <c r="A10" t="s">
        <v>743</v>
      </c>
      <c r="B10" s="3">
        <v>46174</v>
      </c>
      <c r="C10" t="s">
        <v>744</v>
      </c>
      <c r="D10" t="s">
        <v>33</v>
      </c>
      <c r="E10" t="s">
        <v>78</v>
      </c>
      <c r="F10" t="s">
        <v>39</v>
      </c>
      <c r="G10">
        <v>2</v>
      </c>
      <c r="H10">
        <v>1.55</v>
      </c>
      <c r="I10" t="s">
        <v>19</v>
      </c>
      <c r="J10">
        <v>54</v>
      </c>
      <c r="K10">
        <v>0</v>
      </c>
      <c r="L10">
        <v>5</v>
      </c>
      <c r="M10">
        <v>4.9000000000000004</v>
      </c>
      <c r="N10">
        <v>3.1</v>
      </c>
    </row>
    <row r="11" spans="1:14">
      <c r="A11" t="s">
        <v>416</v>
      </c>
      <c r="B11" s="3">
        <v>46174</v>
      </c>
      <c r="C11" t="s">
        <v>329</v>
      </c>
      <c r="D11" t="s">
        <v>33</v>
      </c>
      <c r="E11" t="s">
        <v>60</v>
      </c>
      <c r="F11" t="s">
        <v>29</v>
      </c>
      <c r="G11">
        <v>2</v>
      </c>
      <c r="H11">
        <v>2.69</v>
      </c>
      <c r="I11" t="s">
        <v>19</v>
      </c>
      <c r="J11">
        <v>8</v>
      </c>
      <c r="K11">
        <v>0</v>
      </c>
      <c r="L11">
        <v>7</v>
      </c>
      <c r="M11">
        <v>1</v>
      </c>
      <c r="N11">
        <v>5.38</v>
      </c>
    </row>
    <row r="12" spans="1:14">
      <c r="A12" t="s">
        <v>461</v>
      </c>
      <c r="B12" s="3">
        <v>46174</v>
      </c>
      <c r="C12" t="s">
        <v>388</v>
      </c>
      <c r="D12" t="s">
        <v>33</v>
      </c>
      <c r="E12" t="s">
        <v>46</v>
      </c>
      <c r="F12" t="s">
        <v>24</v>
      </c>
      <c r="G12">
        <v>2</v>
      </c>
      <c r="H12">
        <v>1.52</v>
      </c>
      <c r="I12" t="s">
        <v>30</v>
      </c>
      <c r="J12">
        <v>28</v>
      </c>
      <c r="K12">
        <v>0</v>
      </c>
      <c r="L12">
        <v>9</v>
      </c>
      <c r="M12">
        <v>5.5</v>
      </c>
      <c r="N12">
        <v>3.04</v>
      </c>
    </row>
    <row r="13" spans="1:14">
      <c r="A13" t="s">
        <v>470</v>
      </c>
      <c r="B13" s="3">
        <v>46174</v>
      </c>
      <c r="C13" t="s">
        <v>45</v>
      </c>
      <c r="D13" t="s">
        <v>33</v>
      </c>
      <c r="E13" t="s">
        <v>85</v>
      </c>
      <c r="F13" t="s">
        <v>18</v>
      </c>
      <c r="G13">
        <v>1</v>
      </c>
      <c r="H13">
        <v>2.12</v>
      </c>
      <c r="I13" t="s">
        <v>30</v>
      </c>
      <c r="J13">
        <v>50</v>
      </c>
      <c r="K13">
        <v>0</v>
      </c>
      <c r="L13">
        <v>7</v>
      </c>
      <c r="M13">
        <v>4.8</v>
      </c>
      <c r="N13">
        <v>2.12</v>
      </c>
    </row>
    <row r="14" spans="1:14">
      <c r="A14" t="s">
        <v>1196</v>
      </c>
      <c r="B14" s="3">
        <v>46175</v>
      </c>
      <c r="C14" t="s">
        <v>26</v>
      </c>
      <c r="D14" t="s">
        <v>22</v>
      </c>
      <c r="E14" t="s">
        <v>49</v>
      </c>
      <c r="F14" t="s">
        <v>50</v>
      </c>
      <c r="G14">
        <v>1</v>
      </c>
      <c r="H14">
        <v>3.36</v>
      </c>
      <c r="I14" t="s">
        <v>30</v>
      </c>
      <c r="J14">
        <v>57</v>
      </c>
      <c r="K14">
        <v>1</v>
      </c>
      <c r="L14">
        <v>6</v>
      </c>
      <c r="M14">
        <v>6.3</v>
      </c>
      <c r="N14">
        <v>3.36</v>
      </c>
    </row>
    <row r="15" spans="1:14">
      <c r="A15" t="s">
        <v>79</v>
      </c>
      <c r="B15" s="3">
        <v>46175</v>
      </c>
      <c r="C15" t="s">
        <v>80</v>
      </c>
      <c r="D15" t="s">
        <v>22</v>
      </c>
      <c r="E15" t="s">
        <v>49</v>
      </c>
      <c r="F15" t="s">
        <v>50</v>
      </c>
      <c r="G15">
        <v>2</v>
      </c>
      <c r="H15">
        <v>3.95</v>
      </c>
      <c r="I15" t="s">
        <v>19</v>
      </c>
      <c r="J15">
        <v>44</v>
      </c>
      <c r="K15">
        <v>0</v>
      </c>
      <c r="L15">
        <v>6</v>
      </c>
      <c r="M15">
        <v>2.4</v>
      </c>
      <c r="N15">
        <v>7.9</v>
      </c>
    </row>
    <row r="16" spans="1:14">
      <c r="A16" t="s">
        <v>1145</v>
      </c>
      <c r="B16" s="3">
        <v>46175</v>
      </c>
      <c r="C16" t="s">
        <v>170</v>
      </c>
      <c r="D16" t="s">
        <v>22</v>
      </c>
      <c r="E16" t="s">
        <v>69</v>
      </c>
      <c r="F16" t="s">
        <v>43</v>
      </c>
      <c r="G16">
        <v>1</v>
      </c>
      <c r="H16">
        <v>1.69</v>
      </c>
      <c r="I16" t="s">
        <v>30</v>
      </c>
      <c r="J16">
        <v>46</v>
      </c>
      <c r="K16">
        <v>0</v>
      </c>
      <c r="L16">
        <v>7</v>
      </c>
      <c r="M16">
        <v>4.5999999999999996</v>
      </c>
      <c r="N16">
        <v>1.69</v>
      </c>
    </row>
    <row r="17" spans="1:14">
      <c r="A17" t="s">
        <v>146</v>
      </c>
      <c r="B17" s="3">
        <v>46175</v>
      </c>
      <c r="C17" t="s">
        <v>147</v>
      </c>
      <c r="D17" t="s">
        <v>22</v>
      </c>
      <c r="E17" t="s">
        <v>115</v>
      </c>
      <c r="F17" t="s">
        <v>29</v>
      </c>
      <c r="G17">
        <v>1</v>
      </c>
      <c r="H17">
        <v>3.99</v>
      </c>
      <c r="I17" t="s">
        <v>19</v>
      </c>
      <c r="J17">
        <v>24</v>
      </c>
      <c r="K17">
        <v>0</v>
      </c>
      <c r="L17">
        <v>4</v>
      </c>
      <c r="M17">
        <v>4.4000000000000004</v>
      </c>
      <c r="N17">
        <v>3.99</v>
      </c>
    </row>
    <row r="18" spans="1:14">
      <c r="A18" t="s">
        <v>157</v>
      </c>
      <c r="B18" s="3">
        <v>46175</v>
      </c>
      <c r="C18" t="s">
        <v>144</v>
      </c>
      <c r="D18" t="s">
        <v>22</v>
      </c>
      <c r="E18" t="s">
        <v>49</v>
      </c>
      <c r="F18" t="s">
        <v>50</v>
      </c>
      <c r="G18">
        <v>1</v>
      </c>
      <c r="H18">
        <v>3.95</v>
      </c>
      <c r="I18" t="s">
        <v>19</v>
      </c>
      <c r="J18">
        <v>19</v>
      </c>
      <c r="K18">
        <v>0</v>
      </c>
      <c r="L18">
        <v>9</v>
      </c>
      <c r="M18">
        <v>5.7</v>
      </c>
      <c r="N18">
        <v>3.95</v>
      </c>
    </row>
    <row r="19" spans="1:14">
      <c r="A19" t="s">
        <v>169</v>
      </c>
      <c r="B19" s="3">
        <v>46175</v>
      </c>
      <c r="C19" t="s">
        <v>170</v>
      </c>
      <c r="D19" t="s">
        <v>22</v>
      </c>
      <c r="E19" t="s">
        <v>120</v>
      </c>
      <c r="F19" t="s">
        <v>50</v>
      </c>
      <c r="G19">
        <v>1</v>
      </c>
      <c r="H19">
        <v>2.25</v>
      </c>
      <c r="I19" t="s">
        <v>19</v>
      </c>
      <c r="J19">
        <v>38</v>
      </c>
      <c r="K19">
        <v>0</v>
      </c>
      <c r="L19">
        <v>9</v>
      </c>
      <c r="M19">
        <v>4.5</v>
      </c>
      <c r="N19">
        <v>2.25</v>
      </c>
    </row>
    <row r="20" spans="1:14">
      <c r="A20" t="s">
        <v>283</v>
      </c>
      <c r="B20" s="3">
        <v>46175</v>
      </c>
      <c r="C20" t="s">
        <v>95</v>
      </c>
      <c r="D20" t="s">
        <v>22</v>
      </c>
      <c r="E20" t="s">
        <v>115</v>
      </c>
      <c r="F20" t="s">
        <v>29</v>
      </c>
      <c r="G20">
        <v>1</v>
      </c>
      <c r="H20">
        <v>3.99</v>
      </c>
      <c r="I20" t="s">
        <v>19</v>
      </c>
      <c r="J20">
        <v>11</v>
      </c>
      <c r="K20">
        <v>0</v>
      </c>
      <c r="L20">
        <v>7</v>
      </c>
      <c r="M20">
        <v>2.2999999999999998</v>
      </c>
      <c r="N20">
        <v>3.99</v>
      </c>
    </row>
    <row r="21" spans="1:14">
      <c r="A21" t="s">
        <v>828</v>
      </c>
      <c r="B21" s="3">
        <v>46175</v>
      </c>
      <c r="C21" t="s">
        <v>829</v>
      </c>
      <c r="D21" t="s">
        <v>22</v>
      </c>
      <c r="E21" t="s">
        <v>17</v>
      </c>
      <c r="F21" t="s">
        <v>18</v>
      </c>
      <c r="G21">
        <v>1</v>
      </c>
      <c r="H21">
        <v>1.75</v>
      </c>
      <c r="I21" t="s">
        <v>19</v>
      </c>
      <c r="J21">
        <v>24</v>
      </c>
      <c r="K21">
        <v>0</v>
      </c>
      <c r="L21">
        <v>6</v>
      </c>
      <c r="M21">
        <v>2</v>
      </c>
      <c r="N21">
        <v>1.75</v>
      </c>
    </row>
    <row r="22" spans="1:14">
      <c r="A22" t="s">
        <v>827</v>
      </c>
      <c r="B22" s="3">
        <v>46175</v>
      </c>
      <c r="C22" t="s">
        <v>440</v>
      </c>
      <c r="D22" t="s">
        <v>22</v>
      </c>
      <c r="E22" t="s">
        <v>120</v>
      </c>
      <c r="F22" t="s">
        <v>50</v>
      </c>
      <c r="G22">
        <v>1</v>
      </c>
      <c r="H22">
        <v>2.25</v>
      </c>
      <c r="I22" t="s">
        <v>19</v>
      </c>
      <c r="J22">
        <v>16</v>
      </c>
      <c r="K22">
        <v>0</v>
      </c>
      <c r="L22">
        <v>6</v>
      </c>
      <c r="M22">
        <v>2</v>
      </c>
      <c r="N22">
        <v>2.25</v>
      </c>
    </row>
    <row r="23" spans="1:14">
      <c r="A23" t="s">
        <v>364</v>
      </c>
      <c r="B23" s="3">
        <v>46175</v>
      </c>
      <c r="C23" t="s">
        <v>365</v>
      </c>
      <c r="D23" t="s">
        <v>22</v>
      </c>
      <c r="E23" t="s">
        <v>125</v>
      </c>
      <c r="F23" t="s">
        <v>39</v>
      </c>
      <c r="G23">
        <v>1</v>
      </c>
      <c r="H23">
        <v>1.85</v>
      </c>
      <c r="I23" t="s">
        <v>19</v>
      </c>
      <c r="J23">
        <v>43</v>
      </c>
      <c r="K23">
        <v>0</v>
      </c>
      <c r="L23">
        <v>6</v>
      </c>
      <c r="M23">
        <v>6</v>
      </c>
      <c r="N23">
        <v>1.85</v>
      </c>
    </row>
    <row r="24" spans="1:14">
      <c r="A24" t="s">
        <v>748</v>
      </c>
      <c r="B24" s="3">
        <v>46175</v>
      </c>
      <c r="C24" t="s">
        <v>590</v>
      </c>
      <c r="D24" t="s">
        <v>22</v>
      </c>
      <c r="E24" t="s">
        <v>28</v>
      </c>
      <c r="F24" t="s">
        <v>29</v>
      </c>
      <c r="G24">
        <v>2</v>
      </c>
      <c r="H24">
        <v>3.29</v>
      </c>
      <c r="I24" t="s">
        <v>19</v>
      </c>
      <c r="J24">
        <v>40</v>
      </c>
      <c r="K24">
        <v>0</v>
      </c>
      <c r="L24">
        <v>8</v>
      </c>
      <c r="M24">
        <v>4.3</v>
      </c>
      <c r="N24">
        <v>6.58</v>
      </c>
    </row>
    <row r="25" spans="1:14">
      <c r="A25" t="s">
        <v>695</v>
      </c>
      <c r="B25" s="3">
        <v>46175</v>
      </c>
      <c r="C25" t="s">
        <v>178</v>
      </c>
      <c r="D25" t="s">
        <v>22</v>
      </c>
      <c r="E25" t="s">
        <v>23</v>
      </c>
      <c r="F25" t="s">
        <v>24</v>
      </c>
      <c r="G25">
        <v>1</v>
      </c>
      <c r="H25">
        <v>0.81</v>
      </c>
      <c r="I25" t="s">
        <v>30</v>
      </c>
      <c r="J25">
        <v>29</v>
      </c>
      <c r="K25">
        <v>0</v>
      </c>
      <c r="L25">
        <v>4</v>
      </c>
      <c r="M25">
        <v>4</v>
      </c>
      <c r="N25">
        <v>0.81</v>
      </c>
    </row>
    <row r="26" spans="1:14">
      <c r="A26" t="s">
        <v>452</v>
      </c>
      <c r="B26" s="3">
        <v>46175</v>
      </c>
      <c r="C26" t="s">
        <v>215</v>
      </c>
      <c r="D26" t="s">
        <v>22</v>
      </c>
      <c r="E26" t="s">
        <v>69</v>
      </c>
      <c r="F26" t="s">
        <v>43</v>
      </c>
      <c r="G26">
        <v>1</v>
      </c>
      <c r="H26">
        <v>1.99</v>
      </c>
      <c r="I26" t="s">
        <v>19</v>
      </c>
      <c r="J26">
        <v>16</v>
      </c>
      <c r="K26">
        <v>0</v>
      </c>
      <c r="L26">
        <v>6</v>
      </c>
      <c r="M26">
        <v>5.8</v>
      </c>
      <c r="N26">
        <v>1.99</v>
      </c>
    </row>
    <row r="27" spans="1:14">
      <c r="A27" t="s">
        <v>462</v>
      </c>
      <c r="B27" s="3">
        <v>46175</v>
      </c>
      <c r="C27" t="s">
        <v>21</v>
      </c>
      <c r="D27" t="s">
        <v>22</v>
      </c>
      <c r="E27" t="s">
        <v>106</v>
      </c>
      <c r="F27" t="s">
        <v>18</v>
      </c>
      <c r="G27">
        <v>3</v>
      </c>
      <c r="H27">
        <v>1.89</v>
      </c>
      <c r="I27" t="s">
        <v>19</v>
      </c>
      <c r="J27">
        <v>50</v>
      </c>
      <c r="K27">
        <v>0</v>
      </c>
      <c r="L27">
        <v>4</v>
      </c>
      <c r="M27">
        <v>2</v>
      </c>
      <c r="N27">
        <v>5.67</v>
      </c>
    </row>
    <row r="28" spans="1:14">
      <c r="A28" t="s">
        <v>585</v>
      </c>
      <c r="B28" s="3">
        <v>46175</v>
      </c>
      <c r="C28" t="s">
        <v>161</v>
      </c>
      <c r="D28" t="s">
        <v>22</v>
      </c>
      <c r="E28" t="s">
        <v>23</v>
      </c>
      <c r="F28" t="s">
        <v>24</v>
      </c>
      <c r="G28">
        <v>3</v>
      </c>
      <c r="H28">
        <v>0.95</v>
      </c>
      <c r="I28" t="s">
        <v>19</v>
      </c>
      <c r="J28">
        <v>45</v>
      </c>
      <c r="K28">
        <v>0</v>
      </c>
      <c r="L28">
        <v>9</v>
      </c>
      <c r="M28">
        <v>4.2</v>
      </c>
      <c r="N28">
        <v>2.8499999999999996</v>
      </c>
    </row>
    <row r="29" spans="1:14">
      <c r="A29" t="s">
        <v>551</v>
      </c>
      <c r="B29" s="3">
        <v>46175</v>
      </c>
      <c r="C29" t="s">
        <v>163</v>
      </c>
      <c r="D29" t="s">
        <v>22</v>
      </c>
      <c r="E29" t="s">
        <v>49</v>
      </c>
      <c r="F29" t="s">
        <v>50</v>
      </c>
      <c r="G29">
        <v>2</v>
      </c>
      <c r="H29">
        <v>3.95</v>
      </c>
      <c r="I29" t="s">
        <v>19</v>
      </c>
      <c r="J29">
        <v>29</v>
      </c>
      <c r="K29">
        <v>0</v>
      </c>
      <c r="L29">
        <v>6</v>
      </c>
      <c r="M29">
        <v>5.9</v>
      </c>
      <c r="N29">
        <v>7.9</v>
      </c>
    </row>
    <row r="30" spans="1:14">
      <c r="A30" t="s">
        <v>538</v>
      </c>
      <c r="B30" s="3">
        <v>46175</v>
      </c>
      <c r="C30" t="s">
        <v>539</v>
      </c>
      <c r="D30" t="s">
        <v>22</v>
      </c>
      <c r="E30" t="s">
        <v>125</v>
      </c>
      <c r="F30" t="s">
        <v>39</v>
      </c>
      <c r="G30">
        <v>4</v>
      </c>
      <c r="H30">
        <v>1.57</v>
      </c>
      <c r="I30" t="s">
        <v>30</v>
      </c>
      <c r="J30">
        <v>46</v>
      </c>
      <c r="K30">
        <v>1</v>
      </c>
      <c r="L30">
        <v>6</v>
      </c>
      <c r="M30">
        <v>1.3</v>
      </c>
      <c r="N30">
        <v>6.28</v>
      </c>
    </row>
    <row r="31" spans="1:14">
      <c r="A31" t="s">
        <v>148</v>
      </c>
      <c r="B31" s="3">
        <v>46176</v>
      </c>
      <c r="C31" t="s">
        <v>142</v>
      </c>
      <c r="D31" t="s">
        <v>16</v>
      </c>
      <c r="E31" t="s">
        <v>85</v>
      </c>
      <c r="F31" t="s">
        <v>18</v>
      </c>
      <c r="G31">
        <v>1</v>
      </c>
      <c r="H31">
        <v>2.4900000000000002</v>
      </c>
      <c r="I31" t="s">
        <v>19</v>
      </c>
      <c r="J31">
        <v>46</v>
      </c>
      <c r="K31">
        <v>0</v>
      </c>
      <c r="L31">
        <v>8</v>
      </c>
      <c r="M31">
        <v>3.4</v>
      </c>
      <c r="N31">
        <v>2.4900000000000002</v>
      </c>
    </row>
    <row r="32" spans="1:14">
      <c r="A32" t="s">
        <v>1094</v>
      </c>
      <c r="B32" s="3">
        <v>46176</v>
      </c>
      <c r="C32" t="s">
        <v>144</v>
      </c>
      <c r="D32" t="s">
        <v>16</v>
      </c>
      <c r="E32" t="s">
        <v>49</v>
      </c>
      <c r="F32" t="s">
        <v>50</v>
      </c>
      <c r="G32">
        <v>4</v>
      </c>
      <c r="H32">
        <v>3.36</v>
      </c>
      <c r="I32" t="s">
        <v>30</v>
      </c>
      <c r="J32">
        <v>16</v>
      </c>
      <c r="K32">
        <v>0</v>
      </c>
      <c r="L32">
        <v>6</v>
      </c>
      <c r="M32">
        <v>3</v>
      </c>
      <c r="N32">
        <v>13.44</v>
      </c>
    </row>
    <row r="33" spans="1:14">
      <c r="A33" t="s">
        <v>222</v>
      </c>
      <c r="B33" s="3">
        <v>46176</v>
      </c>
      <c r="C33" t="s">
        <v>189</v>
      </c>
      <c r="D33" t="s">
        <v>16</v>
      </c>
      <c r="E33" t="s">
        <v>46</v>
      </c>
      <c r="F33" t="s">
        <v>24</v>
      </c>
      <c r="G33">
        <v>1</v>
      </c>
      <c r="H33">
        <v>1.79</v>
      </c>
      <c r="I33" t="s">
        <v>19</v>
      </c>
      <c r="J33">
        <v>25</v>
      </c>
      <c r="K33">
        <v>0</v>
      </c>
      <c r="L33">
        <v>7</v>
      </c>
      <c r="M33">
        <v>6.2</v>
      </c>
      <c r="N33">
        <v>1.79</v>
      </c>
    </row>
    <row r="34" spans="1:14">
      <c r="A34" t="s">
        <v>990</v>
      </c>
      <c r="B34" s="3">
        <v>46176</v>
      </c>
      <c r="C34" t="s">
        <v>21</v>
      </c>
      <c r="D34" t="s">
        <v>16</v>
      </c>
      <c r="E34" t="s">
        <v>63</v>
      </c>
      <c r="F34" t="s">
        <v>50</v>
      </c>
      <c r="G34">
        <v>1</v>
      </c>
      <c r="H34">
        <v>3.49</v>
      </c>
      <c r="I34" t="s">
        <v>19</v>
      </c>
      <c r="J34">
        <v>32</v>
      </c>
      <c r="K34">
        <v>0</v>
      </c>
      <c r="L34">
        <v>4</v>
      </c>
      <c r="M34">
        <v>3.8</v>
      </c>
      <c r="N34">
        <v>3.49</v>
      </c>
    </row>
    <row r="35" spans="1:14">
      <c r="A35" t="s">
        <v>967</v>
      </c>
      <c r="B35" s="3">
        <v>46176</v>
      </c>
      <c r="C35" t="s">
        <v>318</v>
      </c>
      <c r="D35" t="s">
        <v>16</v>
      </c>
      <c r="E35" t="s">
        <v>63</v>
      </c>
      <c r="F35" t="s">
        <v>50</v>
      </c>
      <c r="G35">
        <v>1</v>
      </c>
      <c r="H35">
        <v>2.97</v>
      </c>
      <c r="I35" t="s">
        <v>30</v>
      </c>
      <c r="J35">
        <v>18</v>
      </c>
      <c r="K35">
        <v>0</v>
      </c>
      <c r="L35">
        <v>7</v>
      </c>
      <c r="M35">
        <v>4.8</v>
      </c>
      <c r="N35">
        <v>2.97</v>
      </c>
    </row>
    <row r="36" spans="1:14">
      <c r="A36" t="s">
        <v>960</v>
      </c>
      <c r="B36" s="3">
        <v>46176</v>
      </c>
      <c r="C36" t="s">
        <v>204</v>
      </c>
      <c r="D36" t="s">
        <v>16</v>
      </c>
      <c r="E36" t="s">
        <v>23</v>
      </c>
      <c r="F36" t="s">
        <v>24</v>
      </c>
      <c r="G36">
        <v>1</v>
      </c>
      <c r="H36">
        <v>0.81</v>
      </c>
      <c r="I36" t="s">
        <v>30</v>
      </c>
      <c r="J36">
        <v>52</v>
      </c>
      <c r="K36">
        <v>1</v>
      </c>
      <c r="L36">
        <v>6</v>
      </c>
      <c r="M36">
        <v>2.8</v>
      </c>
      <c r="N36">
        <v>0.81</v>
      </c>
    </row>
    <row r="37" spans="1:14">
      <c r="A37" t="s">
        <v>270</v>
      </c>
      <c r="B37" s="3">
        <v>46176</v>
      </c>
      <c r="C37" t="s">
        <v>207</v>
      </c>
      <c r="D37" t="s">
        <v>16</v>
      </c>
      <c r="E37" t="s">
        <v>120</v>
      </c>
      <c r="F37" t="s">
        <v>50</v>
      </c>
      <c r="G37">
        <v>2</v>
      </c>
      <c r="H37">
        <v>1.91</v>
      </c>
      <c r="I37" t="s">
        <v>30</v>
      </c>
      <c r="J37">
        <v>11</v>
      </c>
      <c r="K37">
        <v>0</v>
      </c>
      <c r="L37">
        <v>4</v>
      </c>
      <c r="M37">
        <v>2.8</v>
      </c>
      <c r="N37">
        <v>3.82</v>
      </c>
    </row>
    <row r="38" spans="1:14">
      <c r="A38" t="s">
        <v>922</v>
      </c>
      <c r="B38" s="3">
        <v>46176</v>
      </c>
      <c r="C38" t="s">
        <v>15</v>
      </c>
      <c r="D38" t="s">
        <v>16</v>
      </c>
      <c r="E38" t="s">
        <v>60</v>
      </c>
      <c r="F38" t="s">
        <v>29</v>
      </c>
      <c r="G38">
        <v>1</v>
      </c>
      <c r="H38">
        <v>2.69</v>
      </c>
      <c r="I38" t="s">
        <v>19</v>
      </c>
      <c r="J38">
        <v>23</v>
      </c>
      <c r="K38">
        <v>0</v>
      </c>
      <c r="L38">
        <v>4</v>
      </c>
      <c r="M38">
        <v>5</v>
      </c>
      <c r="N38">
        <v>2.69</v>
      </c>
    </row>
    <row r="39" spans="1:14">
      <c r="A39" t="s">
        <v>800</v>
      </c>
      <c r="B39" s="3">
        <v>46176</v>
      </c>
      <c r="C39" t="s">
        <v>207</v>
      </c>
      <c r="D39" t="s">
        <v>16</v>
      </c>
      <c r="E39" t="s">
        <v>17</v>
      </c>
      <c r="F39" t="s">
        <v>18</v>
      </c>
      <c r="G39">
        <v>1</v>
      </c>
      <c r="H39">
        <v>1.49</v>
      </c>
      <c r="I39" t="s">
        <v>30</v>
      </c>
      <c r="J39">
        <v>53</v>
      </c>
      <c r="K39">
        <v>0</v>
      </c>
      <c r="L39">
        <v>6</v>
      </c>
      <c r="M39">
        <v>1.6</v>
      </c>
      <c r="N39">
        <v>1.49</v>
      </c>
    </row>
    <row r="40" spans="1:14">
      <c r="A40" t="s">
        <v>786</v>
      </c>
      <c r="B40" s="3">
        <v>46176</v>
      </c>
      <c r="C40" t="s">
        <v>156</v>
      </c>
      <c r="D40" t="s">
        <v>16</v>
      </c>
      <c r="E40" t="s">
        <v>115</v>
      </c>
      <c r="F40" t="s">
        <v>29</v>
      </c>
      <c r="G40">
        <v>1</v>
      </c>
      <c r="H40">
        <v>3.99</v>
      </c>
      <c r="I40" t="s">
        <v>19</v>
      </c>
      <c r="J40">
        <v>12</v>
      </c>
      <c r="K40">
        <v>0</v>
      </c>
      <c r="L40">
        <v>4</v>
      </c>
      <c r="M40">
        <v>4.7</v>
      </c>
      <c r="N40">
        <v>3.99</v>
      </c>
    </row>
    <row r="41" spans="1:14">
      <c r="A41" t="s">
        <v>762</v>
      </c>
      <c r="B41" s="3">
        <v>46176</v>
      </c>
      <c r="C41" t="s">
        <v>763</v>
      </c>
      <c r="D41" t="s">
        <v>16</v>
      </c>
      <c r="E41" t="s">
        <v>38</v>
      </c>
      <c r="F41" t="s">
        <v>39</v>
      </c>
      <c r="G41">
        <v>1</v>
      </c>
      <c r="H41">
        <v>2.37</v>
      </c>
      <c r="I41" t="s">
        <v>30</v>
      </c>
      <c r="J41">
        <v>36</v>
      </c>
      <c r="K41">
        <v>0</v>
      </c>
      <c r="L41">
        <v>5</v>
      </c>
      <c r="M41">
        <v>4.7</v>
      </c>
      <c r="N41">
        <v>2.37</v>
      </c>
    </row>
    <row r="42" spans="1:14">
      <c r="A42" t="s">
        <v>494</v>
      </c>
      <c r="B42" s="3">
        <v>46176</v>
      </c>
      <c r="C42" t="s">
        <v>443</v>
      </c>
      <c r="D42" t="s">
        <v>16</v>
      </c>
      <c r="E42" t="s">
        <v>49</v>
      </c>
      <c r="F42" t="s">
        <v>50</v>
      </c>
      <c r="G42">
        <v>2</v>
      </c>
      <c r="H42">
        <v>3.95</v>
      </c>
      <c r="I42" t="s">
        <v>19</v>
      </c>
      <c r="J42">
        <v>3</v>
      </c>
      <c r="K42">
        <v>0</v>
      </c>
      <c r="L42">
        <v>7</v>
      </c>
      <c r="M42">
        <v>4</v>
      </c>
      <c r="N42">
        <v>7.9</v>
      </c>
    </row>
    <row r="43" spans="1:14">
      <c r="A43" t="s">
        <v>561</v>
      </c>
      <c r="B43" s="3">
        <v>46176</v>
      </c>
      <c r="C43" t="s">
        <v>562</v>
      </c>
      <c r="D43" t="s">
        <v>16</v>
      </c>
      <c r="E43" t="s">
        <v>115</v>
      </c>
      <c r="F43" t="s">
        <v>29</v>
      </c>
      <c r="G43">
        <v>2</v>
      </c>
      <c r="H43">
        <v>3.99</v>
      </c>
      <c r="I43" t="s">
        <v>19</v>
      </c>
      <c r="J43">
        <v>12</v>
      </c>
      <c r="K43">
        <v>0</v>
      </c>
      <c r="L43">
        <v>5</v>
      </c>
      <c r="M43">
        <v>2.5</v>
      </c>
      <c r="N43">
        <v>7.98</v>
      </c>
    </row>
    <row r="44" spans="1:14">
      <c r="A44" t="s">
        <v>553</v>
      </c>
      <c r="B44" s="3">
        <v>46176</v>
      </c>
      <c r="C44" t="s">
        <v>318</v>
      </c>
      <c r="D44" t="s">
        <v>16</v>
      </c>
      <c r="E44" t="s">
        <v>17</v>
      </c>
      <c r="F44" t="s">
        <v>18</v>
      </c>
      <c r="G44">
        <v>2</v>
      </c>
      <c r="H44">
        <v>1.75</v>
      </c>
      <c r="I44" t="s">
        <v>19</v>
      </c>
      <c r="J44">
        <v>9</v>
      </c>
      <c r="K44">
        <v>0</v>
      </c>
      <c r="L44">
        <v>8</v>
      </c>
      <c r="M44">
        <v>4.9000000000000004</v>
      </c>
      <c r="N44">
        <v>3.5</v>
      </c>
    </row>
    <row r="45" spans="1:14">
      <c r="A45" t="s">
        <v>514</v>
      </c>
      <c r="B45" s="3">
        <v>46176</v>
      </c>
      <c r="C45" t="s">
        <v>130</v>
      </c>
      <c r="D45" t="s">
        <v>16</v>
      </c>
      <c r="E45" t="s">
        <v>63</v>
      </c>
      <c r="F45" t="s">
        <v>50</v>
      </c>
      <c r="G45">
        <v>1</v>
      </c>
      <c r="H45">
        <v>2.97</v>
      </c>
      <c r="I45" t="s">
        <v>30</v>
      </c>
      <c r="J45">
        <v>54</v>
      </c>
      <c r="K45">
        <v>0</v>
      </c>
      <c r="L45">
        <v>9</v>
      </c>
      <c r="M45">
        <v>4.2</v>
      </c>
      <c r="N45">
        <v>2.97</v>
      </c>
    </row>
    <row r="46" spans="1:14">
      <c r="A46" t="s">
        <v>35</v>
      </c>
      <c r="B46" s="3">
        <v>46177</v>
      </c>
      <c r="C46" t="s">
        <v>36</v>
      </c>
      <c r="D46" t="s">
        <v>37</v>
      </c>
      <c r="E46" t="s">
        <v>38</v>
      </c>
      <c r="F46" t="s">
        <v>39</v>
      </c>
      <c r="G46">
        <v>1</v>
      </c>
      <c r="H46">
        <v>2.79</v>
      </c>
      <c r="I46" t="s">
        <v>19</v>
      </c>
      <c r="J46">
        <v>28</v>
      </c>
      <c r="K46">
        <v>0</v>
      </c>
      <c r="L46">
        <v>8</v>
      </c>
      <c r="M46">
        <v>5.7</v>
      </c>
      <c r="N46">
        <v>2.79</v>
      </c>
    </row>
    <row r="47" spans="1:14">
      <c r="A47" t="s">
        <v>1170</v>
      </c>
      <c r="B47" s="3">
        <v>46177</v>
      </c>
      <c r="C47" t="s">
        <v>297</v>
      </c>
      <c r="D47" t="s">
        <v>37</v>
      </c>
      <c r="E47" t="s">
        <v>120</v>
      </c>
      <c r="F47" t="s">
        <v>50</v>
      </c>
      <c r="G47">
        <v>3</v>
      </c>
      <c r="H47">
        <v>2.25</v>
      </c>
      <c r="I47" t="s">
        <v>19</v>
      </c>
      <c r="J47">
        <v>12</v>
      </c>
      <c r="K47">
        <v>0</v>
      </c>
      <c r="L47">
        <v>6</v>
      </c>
      <c r="M47">
        <v>4.5</v>
      </c>
      <c r="N47">
        <v>6.75</v>
      </c>
    </row>
    <row r="48" spans="1:14">
      <c r="A48" t="s">
        <v>1052</v>
      </c>
      <c r="B48" s="3">
        <v>46177</v>
      </c>
      <c r="C48" t="s">
        <v>672</v>
      </c>
      <c r="D48" t="s">
        <v>37</v>
      </c>
      <c r="E48" t="s">
        <v>115</v>
      </c>
      <c r="F48" t="s">
        <v>29</v>
      </c>
      <c r="G48">
        <v>3</v>
      </c>
      <c r="H48">
        <v>3.99</v>
      </c>
      <c r="I48" t="s">
        <v>19</v>
      </c>
      <c r="J48">
        <v>4</v>
      </c>
      <c r="K48">
        <v>0</v>
      </c>
      <c r="L48">
        <v>5</v>
      </c>
      <c r="M48">
        <v>3.4</v>
      </c>
      <c r="N48">
        <v>11.97</v>
      </c>
    </row>
    <row r="49" spans="1:14">
      <c r="A49" t="s">
        <v>1048</v>
      </c>
      <c r="B49" s="3">
        <v>46177</v>
      </c>
      <c r="C49" t="s">
        <v>117</v>
      </c>
      <c r="D49" t="s">
        <v>37</v>
      </c>
      <c r="E49" t="s">
        <v>57</v>
      </c>
      <c r="F49" t="s">
        <v>43</v>
      </c>
      <c r="G49">
        <v>1</v>
      </c>
      <c r="H49">
        <v>1.69</v>
      </c>
      <c r="I49" t="s">
        <v>19</v>
      </c>
      <c r="J49">
        <v>43</v>
      </c>
      <c r="K49">
        <v>0</v>
      </c>
      <c r="L49">
        <v>8</v>
      </c>
      <c r="M49">
        <v>4.5</v>
      </c>
      <c r="N49">
        <v>1.69</v>
      </c>
    </row>
    <row r="50" spans="1:14">
      <c r="A50" t="s">
        <v>242</v>
      </c>
      <c r="B50" s="3">
        <v>46177</v>
      </c>
      <c r="C50" t="s">
        <v>68</v>
      </c>
      <c r="D50" t="s">
        <v>37</v>
      </c>
      <c r="E50" t="s">
        <v>60</v>
      </c>
      <c r="F50" t="s">
        <v>29</v>
      </c>
      <c r="G50">
        <v>1</v>
      </c>
      <c r="H50">
        <v>2.29</v>
      </c>
      <c r="I50" t="s">
        <v>30</v>
      </c>
      <c r="J50">
        <v>21</v>
      </c>
      <c r="K50">
        <v>0</v>
      </c>
      <c r="L50">
        <v>5</v>
      </c>
      <c r="M50">
        <v>4</v>
      </c>
      <c r="N50">
        <v>2.29</v>
      </c>
    </row>
    <row r="51" spans="1:14">
      <c r="A51" t="s">
        <v>962</v>
      </c>
      <c r="B51" s="3">
        <v>46177</v>
      </c>
      <c r="C51" t="s">
        <v>62</v>
      </c>
      <c r="D51" t="s">
        <v>37</v>
      </c>
      <c r="E51" t="s">
        <v>17</v>
      </c>
      <c r="F51" t="s">
        <v>18</v>
      </c>
      <c r="G51">
        <v>1</v>
      </c>
      <c r="H51">
        <v>1.75</v>
      </c>
      <c r="I51" t="s">
        <v>19</v>
      </c>
      <c r="J51">
        <v>42</v>
      </c>
      <c r="K51">
        <v>0</v>
      </c>
      <c r="L51">
        <v>8</v>
      </c>
      <c r="M51">
        <v>5.6</v>
      </c>
      <c r="N51">
        <v>1.75</v>
      </c>
    </row>
    <row r="52" spans="1:14">
      <c r="A52" t="s">
        <v>886</v>
      </c>
      <c r="B52" s="3">
        <v>46177</v>
      </c>
      <c r="C52" t="s">
        <v>84</v>
      </c>
      <c r="D52" t="s">
        <v>37</v>
      </c>
      <c r="E52" t="s">
        <v>60</v>
      </c>
      <c r="F52" t="s">
        <v>29</v>
      </c>
      <c r="G52">
        <v>4</v>
      </c>
      <c r="H52">
        <v>2.29</v>
      </c>
      <c r="I52" t="s">
        <v>30</v>
      </c>
      <c r="J52">
        <v>40</v>
      </c>
      <c r="K52">
        <v>0</v>
      </c>
      <c r="L52">
        <v>7</v>
      </c>
      <c r="M52">
        <v>1.1000000000000001</v>
      </c>
      <c r="N52">
        <v>9.16</v>
      </c>
    </row>
    <row r="53" spans="1:14">
      <c r="A53" t="s">
        <v>328</v>
      </c>
      <c r="B53" s="3">
        <v>46177</v>
      </c>
      <c r="C53" t="s">
        <v>329</v>
      </c>
      <c r="D53" t="s">
        <v>37</v>
      </c>
      <c r="E53" t="s">
        <v>106</v>
      </c>
      <c r="F53" t="s">
        <v>18</v>
      </c>
      <c r="G53">
        <v>1</v>
      </c>
      <c r="H53">
        <v>1.89</v>
      </c>
      <c r="I53" t="s">
        <v>19</v>
      </c>
      <c r="J53">
        <v>24</v>
      </c>
      <c r="K53">
        <v>0</v>
      </c>
      <c r="L53">
        <v>4</v>
      </c>
      <c r="M53">
        <v>4.5</v>
      </c>
      <c r="N53">
        <v>1.89</v>
      </c>
    </row>
    <row r="54" spans="1:14">
      <c r="A54" t="s">
        <v>363</v>
      </c>
      <c r="B54" s="3">
        <v>46177</v>
      </c>
      <c r="C54" t="s">
        <v>147</v>
      </c>
      <c r="D54" t="s">
        <v>37</v>
      </c>
      <c r="E54" t="s">
        <v>125</v>
      </c>
      <c r="F54" t="s">
        <v>39</v>
      </c>
      <c r="G54">
        <v>1</v>
      </c>
      <c r="H54">
        <v>1.85</v>
      </c>
      <c r="I54" t="s">
        <v>19</v>
      </c>
      <c r="J54">
        <v>35</v>
      </c>
      <c r="K54">
        <v>1</v>
      </c>
      <c r="L54">
        <v>5</v>
      </c>
      <c r="M54">
        <v>2.6</v>
      </c>
      <c r="N54">
        <v>1.85</v>
      </c>
    </row>
    <row r="55" spans="1:14">
      <c r="A55" t="s">
        <v>631</v>
      </c>
      <c r="B55" s="3">
        <v>46177</v>
      </c>
      <c r="C55" t="s">
        <v>562</v>
      </c>
      <c r="D55" t="s">
        <v>37</v>
      </c>
      <c r="E55" t="s">
        <v>115</v>
      </c>
      <c r="F55" t="s">
        <v>29</v>
      </c>
      <c r="G55">
        <v>1</v>
      </c>
      <c r="H55">
        <v>3.99</v>
      </c>
      <c r="I55" t="s">
        <v>19</v>
      </c>
      <c r="J55">
        <v>45</v>
      </c>
      <c r="K55">
        <v>0</v>
      </c>
      <c r="L55">
        <v>6</v>
      </c>
      <c r="M55">
        <v>1.9</v>
      </c>
      <c r="N55">
        <v>3.99</v>
      </c>
    </row>
    <row r="56" spans="1:14">
      <c r="A56" t="s">
        <v>574</v>
      </c>
      <c r="B56" s="3">
        <v>46177</v>
      </c>
      <c r="C56" t="s">
        <v>307</v>
      </c>
      <c r="D56" t="s">
        <v>37</v>
      </c>
      <c r="E56" t="s">
        <v>42</v>
      </c>
      <c r="F56" t="s">
        <v>43</v>
      </c>
      <c r="G56">
        <v>1</v>
      </c>
      <c r="H56">
        <v>1.39</v>
      </c>
      <c r="I56" t="s">
        <v>19</v>
      </c>
      <c r="J56">
        <v>24</v>
      </c>
      <c r="K56">
        <v>0</v>
      </c>
      <c r="L56">
        <v>9</v>
      </c>
      <c r="M56">
        <v>6.4</v>
      </c>
      <c r="N56">
        <v>1.39</v>
      </c>
    </row>
    <row r="57" spans="1:14">
      <c r="A57" t="s">
        <v>143</v>
      </c>
      <c r="B57" s="3">
        <v>46178</v>
      </c>
      <c r="C57" t="s">
        <v>144</v>
      </c>
      <c r="D57" t="s">
        <v>72</v>
      </c>
      <c r="E57" t="s">
        <v>23</v>
      </c>
      <c r="F57" t="s">
        <v>24</v>
      </c>
      <c r="G57">
        <v>1</v>
      </c>
      <c r="H57">
        <v>0.95</v>
      </c>
      <c r="I57" t="s">
        <v>19</v>
      </c>
      <c r="J57">
        <v>6</v>
      </c>
      <c r="K57">
        <v>0</v>
      </c>
      <c r="L57">
        <v>6</v>
      </c>
      <c r="M57">
        <v>5.7</v>
      </c>
      <c r="N57">
        <v>0.95</v>
      </c>
    </row>
    <row r="58" spans="1:14">
      <c r="A58" t="s">
        <v>182</v>
      </c>
      <c r="B58" s="3">
        <v>46178</v>
      </c>
      <c r="C58" t="s">
        <v>41</v>
      </c>
      <c r="D58" t="s">
        <v>72</v>
      </c>
      <c r="E58" t="s">
        <v>106</v>
      </c>
      <c r="F58" t="s">
        <v>18</v>
      </c>
      <c r="G58">
        <v>1</v>
      </c>
      <c r="H58">
        <v>1.61</v>
      </c>
      <c r="I58" t="s">
        <v>30</v>
      </c>
      <c r="J58">
        <v>30</v>
      </c>
      <c r="K58">
        <v>0</v>
      </c>
      <c r="L58">
        <v>4</v>
      </c>
      <c r="M58">
        <v>3.5</v>
      </c>
      <c r="N58">
        <v>1.61</v>
      </c>
    </row>
    <row r="59" spans="1:14">
      <c r="A59" t="s">
        <v>1022</v>
      </c>
      <c r="B59" s="3">
        <v>46178</v>
      </c>
      <c r="C59" t="s">
        <v>523</v>
      </c>
      <c r="D59" t="s">
        <v>72</v>
      </c>
      <c r="E59" t="s">
        <v>38</v>
      </c>
      <c r="F59" t="s">
        <v>39</v>
      </c>
      <c r="G59">
        <v>1</v>
      </c>
      <c r="H59">
        <v>2.79</v>
      </c>
      <c r="I59" t="s">
        <v>19</v>
      </c>
      <c r="J59">
        <v>50</v>
      </c>
      <c r="K59">
        <v>0</v>
      </c>
      <c r="L59">
        <v>4</v>
      </c>
      <c r="M59">
        <v>3</v>
      </c>
      <c r="N59">
        <v>2.79</v>
      </c>
    </row>
    <row r="60" spans="1:14">
      <c r="A60" t="s">
        <v>212</v>
      </c>
      <c r="B60" s="3">
        <v>46178</v>
      </c>
      <c r="C60" t="s">
        <v>213</v>
      </c>
      <c r="D60" t="s">
        <v>72</v>
      </c>
      <c r="E60" t="s">
        <v>60</v>
      </c>
      <c r="F60" t="s">
        <v>29</v>
      </c>
      <c r="G60">
        <v>2</v>
      </c>
      <c r="H60">
        <v>2.69</v>
      </c>
      <c r="I60" t="s">
        <v>19</v>
      </c>
      <c r="J60">
        <v>60</v>
      </c>
      <c r="K60">
        <v>0</v>
      </c>
      <c r="L60">
        <v>6</v>
      </c>
      <c r="M60">
        <v>1.7</v>
      </c>
      <c r="N60">
        <v>5.38</v>
      </c>
    </row>
    <row r="61" spans="1:14">
      <c r="A61" t="s">
        <v>294</v>
      </c>
      <c r="B61" s="3">
        <v>46178</v>
      </c>
      <c r="C61" t="s">
        <v>21</v>
      </c>
      <c r="D61" t="s">
        <v>72</v>
      </c>
      <c r="E61" t="s">
        <v>78</v>
      </c>
      <c r="F61" t="s">
        <v>39</v>
      </c>
      <c r="G61">
        <v>1</v>
      </c>
      <c r="H61">
        <v>1.32</v>
      </c>
      <c r="I61" t="s">
        <v>30</v>
      </c>
      <c r="J61">
        <v>6</v>
      </c>
      <c r="K61">
        <v>1</v>
      </c>
      <c r="L61">
        <v>5</v>
      </c>
      <c r="M61">
        <v>4.9000000000000004</v>
      </c>
      <c r="N61">
        <v>1.32</v>
      </c>
    </row>
    <row r="62" spans="1:14">
      <c r="A62" t="s">
        <v>406</v>
      </c>
      <c r="B62" s="3">
        <v>46178</v>
      </c>
      <c r="C62" t="s">
        <v>189</v>
      </c>
      <c r="D62" t="s">
        <v>72</v>
      </c>
      <c r="E62" t="s">
        <v>46</v>
      </c>
      <c r="F62" t="s">
        <v>24</v>
      </c>
      <c r="G62">
        <v>2</v>
      </c>
      <c r="H62">
        <v>1.79</v>
      </c>
      <c r="I62" t="s">
        <v>19</v>
      </c>
      <c r="J62">
        <v>45</v>
      </c>
      <c r="K62">
        <v>0</v>
      </c>
      <c r="L62">
        <v>9</v>
      </c>
      <c r="M62">
        <v>4.3</v>
      </c>
      <c r="N62">
        <v>3.58</v>
      </c>
    </row>
    <row r="63" spans="1:14">
      <c r="A63" t="s">
        <v>654</v>
      </c>
      <c r="B63" s="3">
        <v>46178</v>
      </c>
      <c r="C63" t="s">
        <v>314</v>
      </c>
      <c r="D63" t="s">
        <v>72</v>
      </c>
      <c r="E63" t="s">
        <v>57</v>
      </c>
      <c r="F63" t="s">
        <v>43</v>
      </c>
      <c r="G63">
        <v>1</v>
      </c>
      <c r="H63">
        <v>1.69</v>
      </c>
      <c r="I63" t="s">
        <v>19</v>
      </c>
      <c r="J63">
        <v>43</v>
      </c>
      <c r="K63">
        <v>0</v>
      </c>
      <c r="L63">
        <v>6</v>
      </c>
      <c r="M63">
        <v>2.2999999999999998</v>
      </c>
      <c r="N63">
        <v>1.69</v>
      </c>
    </row>
    <row r="64" spans="1:14">
      <c r="A64" t="s">
        <v>652</v>
      </c>
      <c r="B64" s="3">
        <v>46178</v>
      </c>
      <c r="C64" t="s">
        <v>71</v>
      </c>
      <c r="D64" t="s">
        <v>72</v>
      </c>
      <c r="E64" t="s">
        <v>78</v>
      </c>
      <c r="F64" t="s">
        <v>39</v>
      </c>
      <c r="G64">
        <v>1</v>
      </c>
      <c r="H64">
        <v>1.55</v>
      </c>
      <c r="I64" t="s">
        <v>19</v>
      </c>
      <c r="J64">
        <v>60</v>
      </c>
      <c r="K64">
        <v>0</v>
      </c>
      <c r="L64">
        <v>8</v>
      </c>
      <c r="M64">
        <v>5.2</v>
      </c>
      <c r="N64">
        <v>1.55</v>
      </c>
    </row>
    <row r="65" spans="1:14">
      <c r="A65" t="s">
        <v>1206</v>
      </c>
      <c r="B65" s="3">
        <v>46179</v>
      </c>
      <c r="C65" t="s">
        <v>335</v>
      </c>
      <c r="D65" t="s">
        <v>66</v>
      </c>
      <c r="E65" t="s">
        <v>60</v>
      </c>
      <c r="F65" t="s">
        <v>29</v>
      </c>
      <c r="G65">
        <v>2</v>
      </c>
      <c r="H65">
        <v>2.29</v>
      </c>
      <c r="I65" t="s">
        <v>30</v>
      </c>
      <c r="J65">
        <v>56</v>
      </c>
      <c r="K65">
        <v>0</v>
      </c>
      <c r="L65">
        <v>9</v>
      </c>
      <c r="M65">
        <v>5.0999999999999996</v>
      </c>
      <c r="N65">
        <v>4.58</v>
      </c>
    </row>
    <row r="66" spans="1:14">
      <c r="A66" t="s">
        <v>96</v>
      </c>
      <c r="B66" s="3">
        <v>46179</v>
      </c>
      <c r="C66" t="s">
        <v>97</v>
      </c>
      <c r="D66" t="s">
        <v>66</v>
      </c>
      <c r="E66" t="s">
        <v>85</v>
      </c>
      <c r="F66" t="s">
        <v>18</v>
      </c>
      <c r="G66">
        <v>1</v>
      </c>
      <c r="H66">
        <v>2.4900000000000002</v>
      </c>
      <c r="I66" t="s">
        <v>19</v>
      </c>
      <c r="J66">
        <v>15</v>
      </c>
      <c r="K66">
        <v>0</v>
      </c>
      <c r="L66">
        <v>4</v>
      </c>
      <c r="M66">
        <v>3.4</v>
      </c>
      <c r="N66">
        <v>2.4900000000000002</v>
      </c>
    </row>
    <row r="67" spans="1:14">
      <c r="A67" t="s">
        <v>126</v>
      </c>
      <c r="B67" s="3">
        <v>46179</v>
      </c>
      <c r="C67" t="s">
        <v>95</v>
      </c>
      <c r="D67" t="s">
        <v>66</v>
      </c>
      <c r="E67" t="s">
        <v>38</v>
      </c>
      <c r="F67" t="s">
        <v>39</v>
      </c>
      <c r="G67">
        <v>1</v>
      </c>
      <c r="H67">
        <v>2.37</v>
      </c>
      <c r="I67" t="s">
        <v>30</v>
      </c>
      <c r="J67">
        <v>47</v>
      </c>
      <c r="K67">
        <v>0</v>
      </c>
      <c r="L67">
        <v>6</v>
      </c>
      <c r="M67">
        <v>2.5</v>
      </c>
      <c r="N67">
        <v>2.37</v>
      </c>
    </row>
    <row r="68" spans="1:14">
      <c r="A68" t="s">
        <v>1082</v>
      </c>
      <c r="B68" s="3">
        <v>46179</v>
      </c>
      <c r="C68" t="s">
        <v>318</v>
      </c>
      <c r="D68" t="s">
        <v>66</v>
      </c>
      <c r="E68" t="s">
        <v>85</v>
      </c>
      <c r="F68" t="s">
        <v>18</v>
      </c>
      <c r="G68">
        <v>3</v>
      </c>
      <c r="H68">
        <v>2.4900000000000002</v>
      </c>
      <c r="I68" t="s">
        <v>19</v>
      </c>
      <c r="J68">
        <v>28</v>
      </c>
      <c r="K68">
        <v>0</v>
      </c>
      <c r="L68">
        <v>9</v>
      </c>
      <c r="M68">
        <v>4.5</v>
      </c>
      <c r="N68">
        <v>7.4700000000000006</v>
      </c>
    </row>
    <row r="69" spans="1:14">
      <c r="A69" t="s">
        <v>184</v>
      </c>
      <c r="B69" s="3">
        <v>46179</v>
      </c>
      <c r="C69" t="s">
        <v>93</v>
      </c>
      <c r="D69" t="s">
        <v>66</v>
      </c>
      <c r="E69" t="s">
        <v>125</v>
      </c>
      <c r="F69" t="s">
        <v>39</v>
      </c>
      <c r="G69">
        <v>2</v>
      </c>
      <c r="H69">
        <v>1.85</v>
      </c>
      <c r="I69" t="s">
        <v>19</v>
      </c>
      <c r="J69">
        <v>41</v>
      </c>
      <c r="K69">
        <v>0</v>
      </c>
      <c r="L69">
        <v>7</v>
      </c>
      <c r="M69">
        <v>3.8</v>
      </c>
      <c r="N69">
        <v>3.7</v>
      </c>
    </row>
    <row r="70" spans="1:14">
      <c r="A70" t="s">
        <v>252</v>
      </c>
      <c r="B70" s="3">
        <v>46179</v>
      </c>
      <c r="C70" t="s">
        <v>93</v>
      </c>
      <c r="D70" t="s">
        <v>66</v>
      </c>
      <c r="E70" t="s">
        <v>49</v>
      </c>
      <c r="F70" t="s">
        <v>50</v>
      </c>
      <c r="G70">
        <v>3</v>
      </c>
      <c r="H70">
        <v>3.95</v>
      </c>
      <c r="I70" t="s">
        <v>19</v>
      </c>
      <c r="J70">
        <v>44</v>
      </c>
      <c r="K70">
        <v>0</v>
      </c>
      <c r="L70">
        <v>9</v>
      </c>
      <c r="M70">
        <v>4.5</v>
      </c>
      <c r="N70">
        <v>11.850000000000001</v>
      </c>
    </row>
    <row r="71" spans="1:14">
      <c r="A71" t="s">
        <v>912</v>
      </c>
      <c r="B71" s="3">
        <v>46179</v>
      </c>
      <c r="C71" t="s">
        <v>307</v>
      </c>
      <c r="D71" t="s">
        <v>66</v>
      </c>
      <c r="E71" t="s">
        <v>42</v>
      </c>
      <c r="F71" t="s">
        <v>43</v>
      </c>
      <c r="G71">
        <v>3</v>
      </c>
      <c r="H71">
        <v>1.39</v>
      </c>
      <c r="I71" t="s">
        <v>19</v>
      </c>
      <c r="J71">
        <v>34</v>
      </c>
      <c r="K71">
        <v>0</v>
      </c>
      <c r="L71">
        <v>8</v>
      </c>
      <c r="M71">
        <v>3.6</v>
      </c>
      <c r="N71">
        <v>4.17</v>
      </c>
    </row>
    <row r="72" spans="1:14">
      <c r="A72" t="s">
        <v>378</v>
      </c>
      <c r="B72" s="3">
        <v>46179</v>
      </c>
      <c r="C72" t="s">
        <v>41</v>
      </c>
      <c r="D72" t="s">
        <v>66</v>
      </c>
      <c r="E72" t="s">
        <v>49</v>
      </c>
      <c r="F72" t="s">
        <v>50</v>
      </c>
      <c r="G72">
        <v>1</v>
      </c>
      <c r="H72">
        <v>3.95</v>
      </c>
      <c r="I72" t="s">
        <v>19</v>
      </c>
      <c r="J72">
        <v>23</v>
      </c>
      <c r="K72">
        <v>0</v>
      </c>
      <c r="L72">
        <v>5</v>
      </c>
      <c r="M72">
        <v>5</v>
      </c>
      <c r="N72">
        <v>3.95</v>
      </c>
    </row>
    <row r="73" spans="1:14">
      <c r="A73" t="s">
        <v>390</v>
      </c>
      <c r="B73" s="3">
        <v>46179</v>
      </c>
      <c r="C73" t="s">
        <v>303</v>
      </c>
      <c r="D73" t="s">
        <v>66</v>
      </c>
      <c r="E73" t="s">
        <v>46</v>
      </c>
      <c r="F73" t="s">
        <v>24</v>
      </c>
      <c r="G73">
        <v>2</v>
      </c>
      <c r="H73">
        <v>1.79</v>
      </c>
      <c r="I73" t="s">
        <v>19</v>
      </c>
      <c r="J73">
        <v>21</v>
      </c>
      <c r="K73">
        <v>2</v>
      </c>
      <c r="L73">
        <v>5</v>
      </c>
      <c r="M73">
        <v>3.4</v>
      </c>
      <c r="N73">
        <v>3.58</v>
      </c>
    </row>
    <row r="74" spans="1:14">
      <c r="A74" t="s">
        <v>740</v>
      </c>
      <c r="B74" s="3">
        <v>46179</v>
      </c>
      <c r="C74" t="s">
        <v>590</v>
      </c>
      <c r="D74" t="s">
        <v>66</v>
      </c>
      <c r="E74" t="s">
        <v>46</v>
      </c>
      <c r="F74" t="s">
        <v>24</v>
      </c>
      <c r="G74">
        <v>1</v>
      </c>
      <c r="H74">
        <v>1.79</v>
      </c>
      <c r="I74" t="s">
        <v>19</v>
      </c>
      <c r="J74">
        <v>59</v>
      </c>
      <c r="K74">
        <v>0</v>
      </c>
      <c r="L74">
        <v>8</v>
      </c>
      <c r="M74">
        <v>5.4</v>
      </c>
      <c r="N74">
        <v>1.79</v>
      </c>
    </row>
    <row r="75" spans="1:14">
      <c r="A75" t="s">
        <v>398</v>
      </c>
      <c r="B75" s="3">
        <v>46179</v>
      </c>
      <c r="C75" t="s">
        <v>303</v>
      </c>
      <c r="D75" t="s">
        <v>66</v>
      </c>
      <c r="E75" t="s">
        <v>115</v>
      </c>
      <c r="F75" t="s">
        <v>29</v>
      </c>
      <c r="G75">
        <v>2</v>
      </c>
      <c r="H75">
        <v>3.99</v>
      </c>
      <c r="I75" t="s">
        <v>19</v>
      </c>
      <c r="J75">
        <v>14</v>
      </c>
      <c r="K75">
        <v>0</v>
      </c>
      <c r="L75">
        <v>7</v>
      </c>
      <c r="M75">
        <v>1</v>
      </c>
      <c r="N75">
        <v>7.98</v>
      </c>
    </row>
    <row r="76" spans="1:14">
      <c r="A76" t="s">
        <v>441</v>
      </c>
      <c r="B76" s="3">
        <v>46179</v>
      </c>
      <c r="C76" t="s">
        <v>77</v>
      </c>
      <c r="D76" t="s">
        <v>66</v>
      </c>
      <c r="E76" t="s">
        <v>106</v>
      </c>
      <c r="F76" t="s">
        <v>18</v>
      </c>
      <c r="G76">
        <v>2</v>
      </c>
      <c r="H76">
        <v>1.89</v>
      </c>
      <c r="I76" t="s">
        <v>19</v>
      </c>
      <c r="J76">
        <v>5</v>
      </c>
      <c r="K76">
        <v>0</v>
      </c>
      <c r="L76">
        <v>7</v>
      </c>
      <c r="M76">
        <v>6</v>
      </c>
      <c r="N76">
        <v>3.78</v>
      </c>
    </row>
    <row r="77" spans="1:14">
      <c r="A77" t="s">
        <v>471</v>
      </c>
      <c r="B77" s="3">
        <v>46179</v>
      </c>
      <c r="C77" t="s">
        <v>329</v>
      </c>
      <c r="D77" t="s">
        <v>66</v>
      </c>
      <c r="E77" t="s">
        <v>46</v>
      </c>
      <c r="F77" t="s">
        <v>24</v>
      </c>
      <c r="G77">
        <v>1</v>
      </c>
      <c r="H77">
        <v>1.79</v>
      </c>
      <c r="I77" t="s">
        <v>19</v>
      </c>
      <c r="J77">
        <v>18</v>
      </c>
      <c r="K77">
        <v>0</v>
      </c>
      <c r="L77">
        <v>5</v>
      </c>
      <c r="M77">
        <v>2.8</v>
      </c>
      <c r="N77">
        <v>1.79</v>
      </c>
    </row>
    <row r="78" spans="1:14">
      <c r="A78" t="s">
        <v>509</v>
      </c>
      <c r="B78" s="3">
        <v>46179</v>
      </c>
      <c r="C78" t="s">
        <v>87</v>
      </c>
      <c r="D78" t="s">
        <v>66</v>
      </c>
      <c r="E78" t="s">
        <v>69</v>
      </c>
      <c r="F78" t="s">
        <v>43</v>
      </c>
      <c r="G78">
        <v>2</v>
      </c>
      <c r="H78">
        <v>1.99</v>
      </c>
      <c r="I78" t="s">
        <v>19</v>
      </c>
      <c r="J78">
        <v>43</v>
      </c>
      <c r="K78">
        <v>0</v>
      </c>
      <c r="L78">
        <v>9</v>
      </c>
      <c r="M78">
        <v>6.1</v>
      </c>
      <c r="N78">
        <v>3.98</v>
      </c>
    </row>
    <row r="79" spans="1:14">
      <c r="A79" t="s">
        <v>1010</v>
      </c>
      <c r="B79" s="3">
        <v>46180</v>
      </c>
      <c r="C79" t="s">
        <v>101</v>
      </c>
      <c r="D79" t="s">
        <v>27</v>
      </c>
      <c r="E79" t="s">
        <v>38</v>
      </c>
      <c r="F79" t="s">
        <v>39</v>
      </c>
      <c r="G79">
        <v>4</v>
      </c>
      <c r="H79">
        <v>2.79</v>
      </c>
      <c r="I79" t="s">
        <v>19</v>
      </c>
      <c r="J79">
        <v>42</v>
      </c>
      <c r="K79">
        <v>0</v>
      </c>
      <c r="L79">
        <v>4</v>
      </c>
      <c r="M79">
        <v>4.7</v>
      </c>
      <c r="N79">
        <v>11.16</v>
      </c>
    </row>
    <row r="80" spans="1:14">
      <c r="A80" t="s">
        <v>921</v>
      </c>
      <c r="B80" s="3">
        <v>46180</v>
      </c>
      <c r="C80" t="s">
        <v>108</v>
      </c>
      <c r="D80" t="s">
        <v>27</v>
      </c>
      <c r="E80" t="s">
        <v>17</v>
      </c>
      <c r="F80" t="s">
        <v>18</v>
      </c>
      <c r="G80">
        <v>2</v>
      </c>
      <c r="H80">
        <v>1.75</v>
      </c>
      <c r="I80" t="s">
        <v>19</v>
      </c>
      <c r="J80">
        <v>17</v>
      </c>
      <c r="K80">
        <v>0</v>
      </c>
      <c r="L80">
        <v>7</v>
      </c>
      <c r="M80">
        <v>2.8</v>
      </c>
      <c r="N80">
        <v>3.5</v>
      </c>
    </row>
    <row r="81" spans="1:14">
      <c r="A81" t="s">
        <v>295</v>
      </c>
      <c r="B81" s="3">
        <v>46180</v>
      </c>
      <c r="C81" t="s">
        <v>80</v>
      </c>
      <c r="D81" t="s">
        <v>27</v>
      </c>
      <c r="E81" t="s">
        <v>34</v>
      </c>
      <c r="F81" t="s">
        <v>24</v>
      </c>
      <c r="G81">
        <v>2</v>
      </c>
      <c r="H81">
        <v>1.49</v>
      </c>
      <c r="I81" t="s">
        <v>19</v>
      </c>
      <c r="J81">
        <v>33</v>
      </c>
      <c r="K81">
        <v>2</v>
      </c>
      <c r="L81">
        <v>7</v>
      </c>
      <c r="M81">
        <v>2.2000000000000002</v>
      </c>
      <c r="N81">
        <v>2.98</v>
      </c>
    </row>
    <row r="82" spans="1:14">
      <c r="A82" t="s">
        <v>844</v>
      </c>
      <c r="B82" s="3">
        <v>46180</v>
      </c>
      <c r="C82" t="s">
        <v>142</v>
      </c>
      <c r="D82" t="s">
        <v>27</v>
      </c>
      <c r="E82" t="s">
        <v>38</v>
      </c>
      <c r="F82" t="s">
        <v>39</v>
      </c>
      <c r="G82">
        <v>3</v>
      </c>
      <c r="H82">
        <v>2.37</v>
      </c>
      <c r="I82" t="s">
        <v>30</v>
      </c>
      <c r="J82">
        <v>41</v>
      </c>
      <c r="K82">
        <v>1</v>
      </c>
      <c r="L82">
        <v>6</v>
      </c>
      <c r="M82">
        <v>3.5</v>
      </c>
      <c r="N82">
        <v>7.11</v>
      </c>
    </row>
    <row r="83" spans="1:14">
      <c r="A83" t="s">
        <v>739</v>
      </c>
      <c r="B83" s="3">
        <v>46180</v>
      </c>
      <c r="C83" t="s">
        <v>36</v>
      </c>
      <c r="D83" t="s">
        <v>27</v>
      </c>
      <c r="E83" t="s">
        <v>42</v>
      </c>
      <c r="F83" t="s">
        <v>43</v>
      </c>
      <c r="G83">
        <v>1</v>
      </c>
      <c r="H83">
        <v>1.39</v>
      </c>
      <c r="I83" t="s">
        <v>19</v>
      </c>
      <c r="J83">
        <v>52</v>
      </c>
      <c r="K83">
        <v>1</v>
      </c>
      <c r="L83">
        <v>8</v>
      </c>
      <c r="M83">
        <v>5.4</v>
      </c>
      <c r="N83">
        <v>1.39</v>
      </c>
    </row>
    <row r="84" spans="1:14">
      <c r="A84" t="s">
        <v>722</v>
      </c>
      <c r="B84" s="3">
        <v>46180</v>
      </c>
      <c r="C84" t="s">
        <v>166</v>
      </c>
      <c r="D84" t="s">
        <v>27</v>
      </c>
      <c r="E84" t="s">
        <v>125</v>
      </c>
      <c r="F84" t="s">
        <v>39</v>
      </c>
      <c r="G84">
        <v>2</v>
      </c>
      <c r="H84">
        <v>1.85</v>
      </c>
      <c r="I84" t="s">
        <v>19</v>
      </c>
      <c r="J84">
        <v>25</v>
      </c>
      <c r="K84">
        <v>0</v>
      </c>
      <c r="L84">
        <v>4</v>
      </c>
      <c r="M84">
        <v>3.4</v>
      </c>
      <c r="N84">
        <v>3.7</v>
      </c>
    </row>
    <row r="85" spans="1:14">
      <c r="A85" t="s">
        <v>480</v>
      </c>
      <c r="B85" s="3">
        <v>46180</v>
      </c>
      <c r="C85" t="s">
        <v>275</v>
      </c>
      <c r="D85" t="s">
        <v>27</v>
      </c>
      <c r="E85" t="s">
        <v>78</v>
      </c>
      <c r="F85" t="s">
        <v>39</v>
      </c>
      <c r="G85">
        <v>2</v>
      </c>
      <c r="H85">
        <v>1.55</v>
      </c>
      <c r="I85" t="s">
        <v>19</v>
      </c>
      <c r="J85">
        <v>35</v>
      </c>
      <c r="K85">
        <v>0</v>
      </c>
      <c r="L85">
        <v>5</v>
      </c>
      <c r="M85">
        <v>4.4000000000000004</v>
      </c>
      <c r="N85">
        <v>3.1</v>
      </c>
    </row>
    <row r="86" spans="1:14">
      <c r="A86" t="s">
        <v>602</v>
      </c>
      <c r="B86" s="3">
        <v>46180</v>
      </c>
      <c r="C86" t="s">
        <v>603</v>
      </c>
      <c r="D86" t="s">
        <v>27</v>
      </c>
      <c r="E86" t="s">
        <v>78</v>
      </c>
      <c r="F86" t="s">
        <v>39</v>
      </c>
      <c r="G86">
        <v>1</v>
      </c>
      <c r="H86">
        <v>1.55</v>
      </c>
      <c r="I86" t="s">
        <v>19</v>
      </c>
      <c r="J86">
        <v>38</v>
      </c>
      <c r="K86">
        <v>0</v>
      </c>
      <c r="L86">
        <v>4</v>
      </c>
      <c r="M86">
        <v>3.2</v>
      </c>
      <c r="N86">
        <v>1.55</v>
      </c>
    </row>
    <row r="87" spans="1:14">
      <c r="A87" t="s">
        <v>905</v>
      </c>
      <c r="B87" s="3">
        <v>46181</v>
      </c>
      <c r="C87" t="s">
        <v>62</v>
      </c>
      <c r="D87" t="s">
        <v>33</v>
      </c>
      <c r="E87" t="s">
        <v>115</v>
      </c>
      <c r="F87" t="s">
        <v>29</v>
      </c>
      <c r="G87">
        <v>1</v>
      </c>
      <c r="H87">
        <v>3.99</v>
      </c>
      <c r="I87" t="s">
        <v>19</v>
      </c>
      <c r="J87">
        <v>59</v>
      </c>
      <c r="K87">
        <v>0</v>
      </c>
      <c r="L87">
        <v>8</v>
      </c>
      <c r="M87">
        <v>3.8</v>
      </c>
      <c r="N87">
        <v>3.99</v>
      </c>
    </row>
    <row r="88" spans="1:14">
      <c r="A88" t="s">
        <v>861</v>
      </c>
      <c r="B88" s="3">
        <v>46181</v>
      </c>
      <c r="C88" t="s">
        <v>77</v>
      </c>
      <c r="D88" t="s">
        <v>33</v>
      </c>
      <c r="E88" t="s">
        <v>23</v>
      </c>
      <c r="F88" t="s">
        <v>24</v>
      </c>
      <c r="G88">
        <v>1</v>
      </c>
      <c r="H88">
        <v>0.81</v>
      </c>
      <c r="I88" t="s">
        <v>30</v>
      </c>
      <c r="J88">
        <v>37</v>
      </c>
      <c r="K88">
        <v>0</v>
      </c>
      <c r="L88">
        <v>9</v>
      </c>
      <c r="M88">
        <v>5</v>
      </c>
      <c r="N88">
        <v>0.81</v>
      </c>
    </row>
    <row r="89" spans="1:14">
      <c r="A89" t="s">
        <v>336</v>
      </c>
      <c r="B89" s="3">
        <v>46181</v>
      </c>
      <c r="C89" t="s">
        <v>241</v>
      </c>
      <c r="D89" t="s">
        <v>33</v>
      </c>
      <c r="E89" t="s">
        <v>120</v>
      </c>
      <c r="F89" t="s">
        <v>50</v>
      </c>
      <c r="G89">
        <v>2</v>
      </c>
      <c r="H89">
        <v>2.25</v>
      </c>
      <c r="I89" t="s">
        <v>19</v>
      </c>
      <c r="J89">
        <v>32</v>
      </c>
      <c r="K89">
        <v>0</v>
      </c>
      <c r="L89">
        <v>5</v>
      </c>
      <c r="M89">
        <v>3.8</v>
      </c>
      <c r="N89">
        <v>4.5</v>
      </c>
    </row>
    <row r="90" spans="1:14">
      <c r="A90" t="s">
        <v>817</v>
      </c>
      <c r="B90" s="3">
        <v>46181</v>
      </c>
      <c r="C90" t="s">
        <v>567</v>
      </c>
      <c r="D90" t="s">
        <v>33</v>
      </c>
      <c r="E90" t="s">
        <v>85</v>
      </c>
      <c r="F90" t="s">
        <v>18</v>
      </c>
      <c r="G90">
        <v>1</v>
      </c>
      <c r="H90">
        <v>2.4900000000000002</v>
      </c>
      <c r="I90" t="s">
        <v>19</v>
      </c>
      <c r="J90">
        <v>40</v>
      </c>
      <c r="K90">
        <v>0</v>
      </c>
      <c r="L90">
        <v>5</v>
      </c>
      <c r="M90">
        <v>3.7</v>
      </c>
      <c r="N90">
        <v>2.4900000000000002</v>
      </c>
    </row>
    <row r="91" spans="1:14">
      <c r="A91" t="s">
        <v>350</v>
      </c>
      <c r="B91" s="3">
        <v>46181</v>
      </c>
      <c r="C91" t="s">
        <v>213</v>
      </c>
      <c r="D91" t="s">
        <v>33</v>
      </c>
      <c r="E91" t="s">
        <v>46</v>
      </c>
      <c r="F91" t="s">
        <v>24</v>
      </c>
      <c r="G91">
        <v>1</v>
      </c>
      <c r="H91">
        <v>1.52</v>
      </c>
      <c r="I91" t="s">
        <v>30</v>
      </c>
      <c r="J91">
        <v>18</v>
      </c>
      <c r="K91">
        <v>0</v>
      </c>
      <c r="L91">
        <v>5</v>
      </c>
      <c r="M91">
        <v>3</v>
      </c>
      <c r="N91">
        <v>1.52</v>
      </c>
    </row>
    <row r="92" spans="1:14">
      <c r="A92" t="s">
        <v>793</v>
      </c>
      <c r="B92" s="3">
        <v>46181</v>
      </c>
      <c r="C92" t="s">
        <v>110</v>
      </c>
      <c r="D92" t="s">
        <v>33</v>
      </c>
      <c r="E92" t="s">
        <v>69</v>
      </c>
      <c r="F92" t="s">
        <v>43</v>
      </c>
      <c r="G92">
        <v>1</v>
      </c>
      <c r="H92">
        <v>1.69</v>
      </c>
      <c r="I92" t="s">
        <v>30</v>
      </c>
      <c r="J92">
        <v>39</v>
      </c>
      <c r="K92">
        <v>0</v>
      </c>
      <c r="L92">
        <v>6</v>
      </c>
      <c r="M92">
        <v>5.9</v>
      </c>
      <c r="N92">
        <v>1.69</v>
      </c>
    </row>
    <row r="93" spans="1:14">
      <c r="A93" t="s">
        <v>623</v>
      </c>
      <c r="B93" s="3">
        <v>46181</v>
      </c>
      <c r="C93" t="s">
        <v>105</v>
      </c>
      <c r="D93" t="s">
        <v>33</v>
      </c>
      <c r="E93" t="s">
        <v>106</v>
      </c>
      <c r="F93" t="s">
        <v>18</v>
      </c>
      <c r="G93">
        <v>3</v>
      </c>
      <c r="H93">
        <v>1.89</v>
      </c>
      <c r="I93" t="s">
        <v>19</v>
      </c>
      <c r="J93">
        <v>30</v>
      </c>
      <c r="K93">
        <v>0</v>
      </c>
      <c r="L93">
        <v>6</v>
      </c>
      <c r="M93">
        <v>4.0999999999999996</v>
      </c>
      <c r="N93">
        <v>5.67</v>
      </c>
    </row>
    <row r="94" spans="1:14">
      <c r="A94" t="s">
        <v>487</v>
      </c>
      <c r="B94" s="3">
        <v>46181</v>
      </c>
      <c r="C94" t="s">
        <v>59</v>
      </c>
      <c r="D94" t="s">
        <v>33</v>
      </c>
      <c r="E94" t="s">
        <v>42</v>
      </c>
      <c r="F94" t="s">
        <v>43</v>
      </c>
      <c r="G94">
        <v>2</v>
      </c>
      <c r="H94">
        <v>1.39</v>
      </c>
      <c r="I94" t="s">
        <v>19</v>
      </c>
      <c r="J94">
        <v>18</v>
      </c>
      <c r="K94">
        <v>1</v>
      </c>
      <c r="L94">
        <v>9</v>
      </c>
      <c r="M94">
        <v>5.0999999999999996</v>
      </c>
      <c r="N94">
        <v>2.78</v>
      </c>
    </row>
    <row r="95" spans="1:14">
      <c r="A95" t="s">
        <v>1060</v>
      </c>
      <c r="B95" s="3">
        <v>46182</v>
      </c>
      <c r="C95" t="s">
        <v>89</v>
      </c>
      <c r="D95" t="s">
        <v>22</v>
      </c>
      <c r="E95" t="s">
        <v>17</v>
      </c>
      <c r="F95" t="s">
        <v>18</v>
      </c>
      <c r="G95">
        <v>1</v>
      </c>
      <c r="H95">
        <v>1.49</v>
      </c>
      <c r="I95" t="s">
        <v>30</v>
      </c>
      <c r="J95">
        <v>44</v>
      </c>
      <c r="K95">
        <v>0</v>
      </c>
      <c r="L95">
        <v>7</v>
      </c>
      <c r="M95">
        <v>1</v>
      </c>
      <c r="N95">
        <v>1.49</v>
      </c>
    </row>
    <row r="96" spans="1:14">
      <c r="A96" t="s">
        <v>982</v>
      </c>
      <c r="B96" s="3">
        <v>46182</v>
      </c>
      <c r="C96" t="s">
        <v>119</v>
      </c>
      <c r="D96" t="s">
        <v>22</v>
      </c>
      <c r="E96" t="s">
        <v>78</v>
      </c>
      <c r="F96" t="s">
        <v>39</v>
      </c>
      <c r="G96">
        <v>3</v>
      </c>
      <c r="H96">
        <v>1.55</v>
      </c>
      <c r="I96" t="s">
        <v>19</v>
      </c>
      <c r="J96">
        <v>17</v>
      </c>
      <c r="K96">
        <v>0</v>
      </c>
      <c r="L96">
        <v>4</v>
      </c>
      <c r="M96">
        <v>3.4</v>
      </c>
      <c r="N96">
        <v>4.6500000000000004</v>
      </c>
    </row>
    <row r="97" spans="1:14">
      <c r="A97" t="s">
        <v>888</v>
      </c>
      <c r="B97" s="3">
        <v>46182</v>
      </c>
      <c r="C97" t="s">
        <v>101</v>
      </c>
      <c r="D97" t="s">
        <v>22</v>
      </c>
      <c r="E97" t="s">
        <v>60</v>
      </c>
      <c r="F97" t="s">
        <v>29</v>
      </c>
      <c r="G97">
        <v>1</v>
      </c>
      <c r="H97">
        <v>2.69</v>
      </c>
      <c r="I97" t="s">
        <v>19</v>
      </c>
      <c r="J97">
        <v>10</v>
      </c>
      <c r="K97">
        <v>0</v>
      </c>
      <c r="L97">
        <v>7</v>
      </c>
      <c r="M97">
        <v>1</v>
      </c>
      <c r="N97">
        <v>2.69</v>
      </c>
    </row>
    <row r="98" spans="1:14">
      <c r="A98" t="s">
        <v>768</v>
      </c>
      <c r="B98" s="3">
        <v>46182</v>
      </c>
      <c r="C98" t="s">
        <v>26</v>
      </c>
      <c r="D98" t="s">
        <v>22</v>
      </c>
      <c r="E98" t="s">
        <v>17</v>
      </c>
      <c r="F98" t="s">
        <v>18</v>
      </c>
      <c r="G98">
        <v>1</v>
      </c>
      <c r="H98">
        <v>1.75</v>
      </c>
      <c r="I98" t="s">
        <v>19</v>
      </c>
      <c r="J98">
        <v>3</v>
      </c>
      <c r="K98">
        <v>0</v>
      </c>
      <c r="L98">
        <v>7</v>
      </c>
      <c r="M98">
        <v>4.3</v>
      </c>
      <c r="N98">
        <v>1.75</v>
      </c>
    </row>
    <row r="99" spans="1:14">
      <c r="A99" t="s">
        <v>747</v>
      </c>
      <c r="B99" s="3">
        <v>46182</v>
      </c>
      <c r="C99" t="s">
        <v>154</v>
      </c>
      <c r="D99" t="s">
        <v>22</v>
      </c>
      <c r="E99" t="s">
        <v>78</v>
      </c>
      <c r="F99" t="s">
        <v>39</v>
      </c>
      <c r="G99">
        <v>1</v>
      </c>
      <c r="H99">
        <v>1.55</v>
      </c>
      <c r="I99" t="s">
        <v>19</v>
      </c>
      <c r="J99">
        <v>29</v>
      </c>
      <c r="K99">
        <v>0</v>
      </c>
      <c r="L99">
        <v>6</v>
      </c>
      <c r="M99">
        <v>1.4</v>
      </c>
      <c r="N99">
        <v>1.55</v>
      </c>
    </row>
    <row r="100" spans="1:14">
      <c r="A100" t="s">
        <v>674</v>
      </c>
      <c r="B100" s="3">
        <v>46182</v>
      </c>
      <c r="C100" t="s">
        <v>230</v>
      </c>
      <c r="D100" t="s">
        <v>22</v>
      </c>
      <c r="E100" t="s">
        <v>69</v>
      </c>
      <c r="F100" t="s">
        <v>43</v>
      </c>
      <c r="G100">
        <v>3</v>
      </c>
      <c r="H100">
        <v>1.69</v>
      </c>
      <c r="I100" t="s">
        <v>30</v>
      </c>
      <c r="J100">
        <v>50</v>
      </c>
      <c r="K100">
        <v>1</v>
      </c>
      <c r="L100">
        <v>8</v>
      </c>
      <c r="M100">
        <v>5.6</v>
      </c>
      <c r="N100">
        <v>5.07</v>
      </c>
    </row>
    <row r="101" spans="1:14">
      <c r="A101" t="s">
        <v>451</v>
      </c>
      <c r="B101" s="3">
        <v>46182</v>
      </c>
      <c r="C101" t="s">
        <v>258</v>
      </c>
      <c r="D101" t="s">
        <v>22</v>
      </c>
      <c r="E101" t="s">
        <v>57</v>
      </c>
      <c r="F101" t="s">
        <v>43</v>
      </c>
      <c r="G101">
        <v>3</v>
      </c>
      <c r="H101">
        <v>1.69</v>
      </c>
      <c r="I101" t="s">
        <v>19</v>
      </c>
      <c r="J101">
        <v>58</v>
      </c>
      <c r="K101">
        <v>2</v>
      </c>
      <c r="L101">
        <v>5</v>
      </c>
      <c r="M101">
        <v>4.7</v>
      </c>
      <c r="N101">
        <v>5.07</v>
      </c>
    </row>
    <row r="102" spans="1:14">
      <c r="A102" t="s">
        <v>612</v>
      </c>
      <c r="B102" s="3">
        <v>46182</v>
      </c>
      <c r="C102" t="s">
        <v>134</v>
      </c>
      <c r="D102" t="s">
        <v>22</v>
      </c>
      <c r="E102" t="s">
        <v>34</v>
      </c>
      <c r="F102" t="s">
        <v>24</v>
      </c>
      <c r="G102">
        <v>1</v>
      </c>
      <c r="H102">
        <v>1.49</v>
      </c>
      <c r="I102" t="s">
        <v>19</v>
      </c>
      <c r="J102">
        <v>55</v>
      </c>
      <c r="K102">
        <v>0</v>
      </c>
      <c r="L102">
        <v>7</v>
      </c>
      <c r="M102">
        <v>1.4</v>
      </c>
      <c r="N102">
        <v>1.49</v>
      </c>
    </row>
    <row r="103" spans="1:14">
      <c r="A103" t="s">
        <v>14</v>
      </c>
      <c r="B103" s="3">
        <v>46183</v>
      </c>
      <c r="C103" t="s">
        <v>15</v>
      </c>
      <c r="D103" t="s">
        <v>16</v>
      </c>
      <c r="E103" t="s">
        <v>17</v>
      </c>
      <c r="F103" t="s">
        <v>18</v>
      </c>
      <c r="G103">
        <v>2</v>
      </c>
      <c r="H103">
        <v>1.75</v>
      </c>
      <c r="I103" t="s">
        <v>19</v>
      </c>
      <c r="J103">
        <v>34</v>
      </c>
      <c r="K103">
        <v>0</v>
      </c>
      <c r="L103">
        <v>5</v>
      </c>
      <c r="M103">
        <v>4.3</v>
      </c>
      <c r="N103">
        <v>3.5</v>
      </c>
    </row>
    <row r="104" spans="1:14">
      <c r="A104" t="s">
        <v>1181</v>
      </c>
      <c r="B104" s="3">
        <v>46183</v>
      </c>
      <c r="C104" t="s">
        <v>207</v>
      </c>
      <c r="D104" t="s">
        <v>16</v>
      </c>
      <c r="E104" t="s">
        <v>69</v>
      </c>
      <c r="F104" t="s">
        <v>43</v>
      </c>
      <c r="G104">
        <v>1</v>
      </c>
      <c r="H104">
        <v>1.99</v>
      </c>
      <c r="I104" t="s">
        <v>19</v>
      </c>
      <c r="J104">
        <v>14</v>
      </c>
      <c r="K104">
        <v>0</v>
      </c>
      <c r="L104">
        <v>7</v>
      </c>
      <c r="M104">
        <v>2.5</v>
      </c>
      <c r="N104">
        <v>1.99</v>
      </c>
    </row>
    <row r="105" spans="1:14">
      <c r="A105" t="s">
        <v>1139</v>
      </c>
      <c r="B105" s="3">
        <v>46183</v>
      </c>
      <c r="C105" t="s">
        <v>458</v>
      </c>
      <c r="D105" t="s">
        <v>16</v>
      </c>
      <c r="E105" t="s">
        <v>106</v>
      </c>
      <c r="F105" t="s">
        <v>18</v>
      </c>
      <c r="G105">
        <v>3</v>
      </c>
      <c r="H105">
        <v>1.89</v>
      </c>
      <c r="I105" t="s">
        <v>19</v>
      </c>
      <c r="J105">
        <v>9</v>
      </c>
      <c r="K105">
        <v>0</v>
      </c>
      <c r="L105">
        <v>6</v>
      </c>
      <c r="M105">
        <v>4.0999999999999996</v>
      </c>
      <c r="N105">
        <v>5.67</v>
      </c>
    </row>
    <row r="106" spans="1:14">
      <c r="A106" t="s">
        <v>118</v>
      </c>
      <c r="B106" s="3">
        <v>46183</v>
      </c>
      <c r="C106" t="s">
        <v>119</v>
      </c>
      <c r="D106" t="s">
        <v>16</v>
      </c>
      <c r="E106" t="s">
        <v>120</v>
      </c>
      <c r="F106" t="s">
        <v>50</v>
      </c>
      <c r="G106">
        <v>1</v>
      </c>
      <c r="H106">
        <v>2.25</v>
      </c>
      <c r="I106" t="s">
        <v>19</v>
      </c>
      <c r="J106">
        <v>16</v>
      </c>
      <c r="K106">
        <v>0</v>
      </c>
      <c r="L106">
        <v>6</v>
      </c>
      <c r="M106">
        <v>2.8</v>
      </c>
      <c r="N106">
        <v>2.25</v>
      </c>
    </row>
    <row r="107" spans="1:14">
      <c r="A107" t="s">
        <v>1124</v>
      </c>
      <c r="B107" s="3">
        <v>46183</v>
      </c>
      <c r="C107" t="s">
        <v>36</v>
      </c>
      <c r="D107" t="s">
        <v>16</v>
      </c>
      <c r="E107" t="s">
        <v>85</v>
      </c>
      <c r="F107" t="s">
        <v>18</v>
      </c>
      <c r="G107">
        <v>1</v>
      </c>
      <c r="H107">
        <v>2.4900000000000002</v>
      </c>
      <c r="I107" t="s">
        <v>19</v>
      </c>
      <c r="J107">
        <v>34</v>
      </c>
      <c r="K107">
        <v>0</v>
      </c>
      <c r="L107">
        <v>9</v>
      </c>
      <c r="M107">
        <v>5.8</v>
      </c>
      <c r="N107">
        <v>2.4900000000000002</v>
      </c>
    </row>
    <row r="108" spans="1:14">
      <c r="A108" t="s">
        <v>1116</v>
      </c>
      <c r="B108" s="3">
        <v>46183</v>
      </c>
      <c r="C108" t="s">
        <v>168</v>
      </c>
      <c r="D108" t="s">
        <v>16</v>
      </c>
      <c r="E108" t="s">
        <v>60</v>
      </c>
      <c r="F108" t="s">
        <v>29</v>
      </c>
      <c r="G108">
        <v>1</v>
      </c>
      <c r="H108">
        <v>2.69</v>
      </c>
      <c r="I108" t="s">
        <v>19</v>
      </c>
      <c r="J108">
        <v>35</v>
      </c>
      <c r="K108">
        <v>0</v>
      </c>
      <c r="L108">
        <v>8</v>
      </c>
      <c r="M108">
        <v>2.8</v>
      </c>
      <c r="N108">
        <v>2.69</v>
      </c>
    </row>
    <row r="109" spans="1:14">
      <c r="A109" t="s">
        <v>1062</v>
      </c>
      <c r="B109" s="3">
        <v>46183</v>
      </c>
      <c r="C109" t="s">
        <v>195</v>
      </c>
      <c r="D109" t="s">
        <v>16</v>
      </c>
      <c r="E109" t="s">
        <v>63</v>
      </c>
      <c r="F109" t="s">
        <v>50</v>
      </c>
      <c r="G109">
        <v>2</v>
      </c>
      <c r="H109">
        <v>2.97</v>
      </c>
      <c r="I109" t="s">
        <v>30</v>
      </c>
      <c r="J109">
        <v>29</v>
      </c>
      <c r="K109">
        <v>0</v>
      </c>
      <c r="L109">
        <v>5</v>
      </c>
      <c r="M109">
        <v>3.6</v>
      </c>
      <c r="N109">
        <v>5.94</v>
      </c>
    </row>
    <row r="110" spans="1:14">
      <c r="A110" t="s">
        <v>937</v>
      </c>
      <c r="B110" s="3">
        <v>46183</v>
      </c>
      <c r="C110" t="s">
        <v>247</v>
      </c>
      <c r="D110" t="s">
        <v>16</v>
      </c>
      <c r="E110" t="s">
        <v>57</v>
      </c>
      <c r="F110" t="s">
        <v>43</v>
      </c>
      <c r="G110">
        <v>1</v>
      </c>
      <c r="H110">
        <v>1.69</v>
      </c>
      <c r="I110" t="s">
        <v>19</v>
      </c>
      <c r="J110">
        <v>43</v>
      </c>
      <c r="K110">
        <v>1</v>
      </c>
      <c r="L110">
        <v>7</v>
      </c>
      <c r="M110">
        <v>3.3</v>
      </c>
      <c r="N110">
        <v>1.69</v>
      </c>
    </row>
    <row r="111" spans="1:14">
      <c r="A111" t="s">
        <v>276</v>
      </c>
      <c r="B111" s="3">
        <v>46183</v>
      </c>
      <c r="C111" t="s">
        <v>277</v>
      </c>
      <c r="D111" t="s">
        <v>16</v>
      </c>
      <c r="E111" t="s">
        <v>57</v>
      </c>
      <c r="F111" t="s">
        <v>43</v>
      </c>
      <c r="G111">
        <v>1</v>
      </c>
      <c r="H111">
        <v>1.44</v>
      </c>
      <c r="I111" t="s">
        <v>30</v>
      </c>
      <c r="J111">
        <v>58</v>
      </c>
      <c r="K111">
        <v>0</v>
      </c>
      <c r="L111">
        <v>6</v>
      </c>
      <c r="M111">
        <v>2.6</v>
      </c>
      <c r="N111">
        <v>1.44</v>
      </c>
    </row>
    <row r="112" spans="1:14">
      <c r="A112" t="s">
        <v>866</v>
      </c>
      <c r="B112" s="3">
        <v>46183</v>
      </c>
      <c r="C112" t="s">
        <v>763</v>
      </c>
      <c r="D112" t="s">
        <v>16</v>
      </c>
      <c r="E112" t="s">
        <v>106</v>
      </c>
      <c r="F112" t="s">
        <v>18</v>
      </c>
      <c r="G112">
        <v>1</v>
      </c>
      <c r="H112">
        <v>1.89</v>
      </c>
      <c r="I112" t="s">
        <v>19</v>
      </c>
      <c r="J112">
        <v>37</v>
      </c>
      <c r="K112">
        <v>0</v>
      </c>
      <c r="L112">
        <v>7</v>
      </c>
      <c r="M112">
        <v>1.2</v>
      </c>
      <c r="N112">
        <v>1.89</v>
      </c>
    </row>
    <row r="113" spans="1:14">
      <c r="A113" t="s">
        <v>338</v>
      </c>
      <c r="B113" s="3">
        <v>46183</v>
      </c>
      <c r="C113" t="s">
        <v>215</v>
      </c>
      <c r="D113" t="s">
        <v>16</v>
      </c>
      <c r="E113" t="s">
        <v>106</v>
      </c>
      <c r="F113" t="s">
        <v>18</v>
      </c>
      <c r="G113">
        <v>2</v>
      </c>
      <c r="H113">
        <v>1.61</v>
      </c>
      <c r="I113" t="s">
        <v>30</v>
      </c>
      <c r="J113">
        <v>12</v>
      </c>
      <c r="K113">
        <v>0</v>
      </c>
      <c r="L113">
        <v>7</v>
      </c>
      <c r="M113">
        <v>6.7</v>
      </c>
      <c r="N113">
        <v>3.22</v>
      </c>
    </row>
    <row r="114" spans="1:14">
      <c r="A114" t="s">
        <v>809</v>
      </c>
      <c r="B114" s="3">
        <v>46183</v>
      </c>
      <c r="C114" t="s">
        <v>244</v>
      </c>
      <c r="D114" t="s">
        <v>16</v>
      </c>
      <c r="E114" t="s">
        <v>17</v>
      </c>
      <c r="F114" t="s">
        <v>18</v>
      </c>
      <c r="G114">
        <v>2</v>
      </c>
      <c r="H114">
        <v>1.75</v>
      </c>
      <c r="I114" t="s">
        <v>19</v>
      </c>
      <c r="J114">
        <v>43</v>
      </c>
      <c r="K114">
        <v>0</v>
      </c>
      <c r="L114">
        <v>5</v>
      </c>
      <c r="M114">
        <v>3.1</v>
      </c>
      <c r="N114">
        <v>3.5</v>
      </c>
    </row>
    <row r="115" spans="1:14">
      <c r="A115" t="s">
        <v>796</v>
      </c>
      <c r="B115" s="3">
        <v>46183</v>
      </c>
      <c r="C115" t="s">
        <v>21</v>
      </c>
      <c r="D115" t="s">
        <v>16</v>
      </c>
      <c r="E115" t="s">
        <v>78</v>
      </c>
      <c r="F115" t="s">
        <v>39</v>
      </c>
      <c r="G115">
        <v>1</v>
      </c>
      <c r="H115">
        <v>1.55</v>
      </c>
      <c r="I115" t="s">
        <v>19</v>
      </c>
      <c r="J115">
        <v>54</v>
      </c>
      <c r="K115">
        <v>0</v>
      </c>
      <c r="L115">
        <v>5</v>
      </c>
      <c r="M115">
        <v>3.9</v>
      </c>
      <c r="N115">
        <v>1.55</v>
      </c>
    </row>
    <row r="116" spans="1:14">
      <c r="A116" t="s">
        <v>399</v>
      </c>
      <c r="B116" s="3">
        <v>46183</v>
      </c>
      <c r="C116" t="s">
        <v>161</v>
      </c>
      <c r="D116" t="s">
        <v>16</v>
      </c>
      <c r="E116" t="s">
        <v>34</v>
      </c>
      <c r="F116" t="s">
        <v>24</v>
      </c>
      <c r="G116">
        <v>1</v>
      </c>
      <c r="H116">
        <v>1.49</v>
      </c>
      <c r="I116" t="s">
        <v>19</v>
      </c>
      <c r="J116">
        <v>46</v>
      </c>
      <c r="K116">
        <v>0</v>
      </c>
      <c r="L116">
        <v>7</v>
      </c>
      <c r="M116">
        <v>4.5999999999999996</v>
      </c>
      <c r="N116">
        <v>1.49</v>
      </c>
    </row>
    <row r="117" spans="1:14">
      <c r="A117" t="s">
        <v>725</v>
      </c>
      <c r="B117" s="3">
        <v>46183</v>
      </c>
      <c r="C117" t="s">
        <v>297</v>
      </c>
      <c r="D117" t="s">
        <v>16</v>
      </c>
      <c r="E117" t="s">
        <v>106</v>
      </c>
      <c r="F117" t="s">
        <v>18</v>
      </c>
      <c r="G117">
        <v>1</v>
      </c>
      <c r="H117">
        <v>1.89</v>
      </c>
      <c r="I117" t="s">
        <v>19</v>
      </c>
      <c r="J117">
        <v>54</v>
      </c>
      <c r="K117">
        <v>0</v>
      </c>
      <c r="L117">
        <v>8</v>
      </c>
      <c r="M117">
        <v>4.3</v>
      </c>
      <c r="N117">
        <v>1.89</v>
      </c>
    </row>
    <row r="118" spans="1:14">
      <c r="A118" t="s">
        <v>670</v>
      </c>
      <c r="B118" s="3">
        <v>46183</v>
      </c>
      <c r="C118" t="s">
        <v>200</v>
      </c>
      <c r="D118" t="s">
        <v>16</v>
      </c>
      <c r="E118" t="s">
        <v>115</v>
      </c>
      <c r="F118" t="s">
        <v>29</v>
      </c>
      <c r="G118">
        <v>2</v>
      </c>
      <c r="H118">
        <v>3.99</v>
      </c>
      <c r="I118" t="s">
        <v>19</v>
      </c>
      <c r="J118">
        <v>58</v>
      </c>
      <c r="K118">
        <v>0</v>
      </c>
      <c r="L118">
        <v>4</v>
      </c>
      <c r="M118">
        <v>4.8</v>
      </c>
      <c r="N118">
        <v>7.98</v>
      </c>
    </row>
    <row r="119" spans="1:14">
      <c r="A119" t="s">
        <v>663</v>
      </c>
      <c r="B119" s="3">
        <v>46183</v>
      </c>
      <c r="C119" t="s">
        <v>93</v>
      </c>
      <c r="D119" t="s">
        <v>16</v>
      </c>
      <c r="E119" t="s">
        <v>115</v>
      </c>
      <c r="F119" t="s">
        <v>29</v>
      </c>
      <c r="G119">
        <v>1</v>
      </c>
      <c r="H119">
        <v>3.99</v>
      </c>
      <c r="I119" t="s">
        <v>19</v>
      </c>
      <c r="J119">
        <v>14</v>
      </c>
      <c r="K119">
        <v>0</v>
      </c>
      <c r="L119">
        <v>8</v>
      </c>
      <c r="M119">
        <v>4.7</v>
      </c>
      <c r="N119">
        <v>3.99</v>
      </c>
    </row>
    <row r="120" spans="1:14">
      <c r="A120" t="s">
        <v>633</v>
      </c>
      <c r="B120" s="3">
        <v>46183</v>
      </c>
      <c r="C120" t="s">
        <v>318</v>
      </c>
      <c r="D120" t="s">
        <v>16</v>
      </c>
      <c r="E120" t="s">
        <v>63</v>
      </c>
      <c r="F120" t="s">
        <v>50</v>
      </c>
      <c r="G120">
        <v>1</v>
      </c>
      <c r="H120">
        <v>3.49</v>
      </c>
      <c r="I120" t="s">
        <v>19</v>
      </c>
      <c r="J120">
        <v>14</v>
      </c>
      <c r="K120">
        <v>0</v>
      </c>
      <c r="L120">
        <v>8</v>
      </c>
      <c r="M120">
        <v>4</v>
      </c>
      <c r="N120">
        <v>3.49</v>
      </c>
    </row>
    <row r="121" spans="1:14">
      <c r="A121" t="s">
        <v>531</v>
      </c>
      <c r="B121" s="3">
        <v>46183</v>
      </c>
      <c r="C121" t="s">
        <v>202</v>
      </c>
      <c r="D121" t="s">
        <v>16</v>
      </c>
      <c r="E121" t="s">
        <v>57</v>
      </c>
      <c r="F121" t="s">
        <v>43</v>
      </c>
      <c r="G121">
        <v>2</v>
      </c>
      <c r="H121">
        <v>1.69</v>
      </c>
      <c r="I121" t="s">
        <v>19</v>
      </c>
      <c r="J121">
        <v>33</v>
      </c>
      <c r="K121">
        <v>1</v>
      </c>
      <c r="L121">
        <v>9</v>
      </c>
      <c r="M121">
        <v>4.8</v>
      </c>
      <c r="N121">
        <v>3.38</v>
      </c>
    </row>
    <row r="122" spans="1:14">
      <c r="A122" t="s">
        <v>530</v>
      </c>
      <c r="B122" s="3">
        <v>46183</v>
      </c>
      <c r="C122" t="s">
        <v>232</v>
      </c>
      <c r="D122" t="s">
        <v>16</v>
      </c>
      <c r="E122" t="s">
        <v>60</v>
      </c>
      <c r="F122" t="s">
        <v>29</v>
      </c>
      <c r="G122">
        <v>3</v>
      </c>
      <c r="H122">
        <v>2.69</v>
      </c>
      <c r="I122" t="s">
        <v>19</v>
      </c>
      <c r="J122">
        <v>60</v>
      </c>
      <c r="K122">
        <v>0</v>
      </c>
      <c r="L122">
        <v>8</v>
      </c>
      <c r="M122">
        <v>5.6</v>
      </c>
      <c r="N122">
        <v>8.07</v>
      </c>
    </row>
    <row r="123" spans="1:14">
      <c r="A123" t="s">
        <v>1135</v>
      </c>
      <c r="B123" s="3">
        <v>46184</v>
      </c>
      <c r="C123" t="s">
        <v>48</v>
      </c>
      <c r="D123" t="s">
        <v>37</v>
      </c>
      <c r="E123" t="s">
        <v>38</v>
      </c>
      <c r="F123" t="s">
        <v>39</v>
      </c>
      <c r="G123">
        <v>1</v>
      </c>
      <c r="H123">
        <v>2.79</v>
      </c>
      <c r="I123" t="s">
        <v>19</v>
      </c>
      <c r="J123">
        <v>52</v>
      </c>
      <c r="K123">
        <v>0</v>
      </c>
      <c r="L123">
        <v>9</v>
      </c>
      <c r="M123">
        <v>4.0999999999999996</v>
      </c>
      <c r="N123">
        <v>2.79</v>
      </c>
    </row>
    <row r="124" spans="1:14">
      <c r="A124" t="s">
        <v>1045</v>
      </c>
      <c r="B124" s="3">
        <v>46184</v>
      </c>
      <c r="C124" t="s">
        <v>68</v>
      </c>
      <c r="D124" t="s">
        <v>37</v>
      </c>
      <c r="E124" t="s">
        <v>28</v>
      </c>
      <c r="F124" t="s">
        <v>29</v>
      </c>
      <c r="G124">
        <v>2</v>
      </c>
      <c r="H124">
        <v>2.8</v>
      </c>
      <c r="I124" t="s">
        <v>30</v>
      </c>
      <c r="J124">
        <v>55</v>
      </c>
      <c r="K124">
        <v>1</v>
      </c>
      <c r="L124">
        <v>4</v>
      </c>
      <c r="M124">
        <v>2.5</v>
      </c>
      <c r="N124">
        <v>5.6</v>
      </c>
    </row>
    <row r="125" spans="1:14">
      <c r="A125" t="s">
        <v>1021</v>
      </c>
      <c r="B125" s="3">
        <v>46184</v>
      </c>
      <c r="C125" t="s">
        <v>852</v>
      </c>
      <c r="D125" t="s">
        <v>37</v>
      </c>
      <c r="E125" t="s">
        <v>115</v>
      </c>
      <c r="F125" t="s">
        <v>29</v>
      </c>
      <c r="G125">
        <v>1</v>
      </c>
      <c r="H125">
        <v>3.99</v>
      </c>
      <c r="I125" t="s">
        <v>19</v>
      </c>
      <c r="J125">
        <v>18</v>
      </c>
      <c r="K125">
        <v>0</v>
      </c>
      <c r="L125">
        <v>4</v>
      </c>
      <c r="M125">
        <v>3.8</v>
      </c>
      <c r="N125">
        <v>3.99</v>
      </c>
    </row>
    <row r="126" spans="1:14">
      <c r="A126" t="s">
        <v>942</v>
      </c>
      <c r="B126" s="3">
        <v>46184</v>
      </c>
      <c r="C126" t="s">
        <v>93</v>
      </c>
      <c r="D126" t="s">
        <v>37</v>
      </c>
      <c r="E126" t="s">
        <v>38</v>
      </c>
      <c r="F126" t="s">
        <v>39</v>
      </c>
      <c r="G126">
        <v>1</v>
      </c>
      <c r="H126">
        <v>2.79</v>
      </c>
      <c r="I126" t="s">
        <v>19</v>
      </c>
      <c r="J126">
        <v>22</v>
      </c>
      <c r="K126">
        <v>0</v>
      </c>
      <c r="L126">
        <v>9</v>
      </c>
      <c r="M126">
        <v>4</v>
      </c>
      <c r="N126">
        <v>2.79</v>
      </c>
    </row>
    <row r="127" spans="1:14">
      <c r="A127" t="s">
        <v>826</v>
      </c>
      <c r="B127" s="3">
        <v>46184</v>
      </c>
      <c r="C127" t="s">
        <v>275</v>
      </c>
      <c r="D127" t="s">
        <v>37</v>
      </c>
      <c r="E127" t="s">
        <v>125</v>
      </c>
      <c r="F127" t="s">
        <v>39</v>
      </c>
      <c r="G127">
        <v>2</v>
      </c>
      <c r="H127">
        <v>1.85</v>
      </c>
      <c r="I127" t="s">
        <v>19</v>
      </c>
      <c r="J127">
        <v>56</v>
      </c>
      <c r="K127">
        <v>0</v>
      </c>
      <c r="L127">
        <v>4</v>
      </c>
      <c r="M127">
        <v>4.3</v>
      </c>
      <c r="N127">
        <v>3.7</v>
      </c>
    </row>
    <row r="128" spans="1:14">
      <c r="A128" t="s">
        <v>357</v>
      </c>
      <c r="B128" s="3">
        <v>46184</v>
      </c>
      <c r="C128" t="s">
        <v>65</v>
      </c>
      <c r="D128" t="s">
        <v>37</v>
      </c>
      <c r="E128" t="s">
        <v>38</v>
      </c>
      <c r="F128" t="s">
        <v>39</v>
      </c>
      <c r="G128">
        <v>1</v>
      </c>
      <c r="H128">
        <v>2.37</v>
      </c>
      <c r="I128" t="s">
        <v>30</v>
      </c>
      <c r="J128">
        <v>31</v>
      </c>
      <c r="K128">
        <v>0</v>
      </c>
      <c r="L128">
        <v>5</v>
      </c>
      <c r="M128">
        <v>2.8</v>
      </c>
      <c r="N128">
        <v>2.37</v>
      </c>
    </row>
    <row r="129" spans="1:14">
      <c r="A129" t="s">
        <v>750</v>
      </c>
      <c r="B129" s="3">
        <v>46184</v>
      </c>
      <c r="C129" t="s">
        <v>254</v>
      </c>
      <c r="D129" t="s">
        <v>37</v>
      </c>
      <c r="E129" t="s">
        <v>125</v>
      </c>
      <c r="F129" t="s">
        <v>39</v>
      </c>
      <c r="G129">
        <v>3</v>
      </c>
      <c r="H129">
        <v>1.85</v>
      </c>
      <c r="I129" t="s">
        <v>19</v>
      </c>
      <c r="J129">
        <v>36</v>
      </c>
      <c r="K129">
        <v>0</v>
      </c>
      <c r="L129">
        <v>6</v>
      </c>
      <c r="M129">
        <v>3</v>
      </c>
      <c r="N129">
        <v>5.5500000000000007</v>
      </c>
    </row>
    <row r="130" spans="1:14">
      <c r="A130" t="s">
        <v>552</v>
      </c>
      <c r="B130" s="3">
        <v>46184</v>
      </c>
      <c r="C130" t="s">
        <v>89</v>
      </c>
      <c r="D130" t="s">
        <v>37</v>
      </c>
      <c r="E130" t="s">
        <v>23</v>
      </c>
      <c r="F130" t="s">
        <v>24</v>
      </c>
      <c r="G130">
        <v>4</v>
      </c>
      <c r="H130">
        <v>0.81</v>
      </c>
      <c r="I130" t="s">
        <v>30</v>
      </c>
      <c r="J130">
        <v>49</v>
      </c>
      <c r="K130">
        <v>0</v>
      </c>
      <c r="L130">
        <v>6</v>
      </c>
      <c r="M130">
        <v>1.4</v>
      </c>
      <c r="N130">
        <v>3.24</v>
      </c>
    </row>
    <row r="131" spans="1:14">
      <c r="A131" t="s">
        <v>520</v>
      </c>
      <c r="B131" s="3">
        <v>46184</v>
      </c>
      <c r="C131" t="s">
        <v>297</v>
      </c>
      <c r="D131" t="s">
        <v>37</v>
      </c>
      <c r="E131" t="s">
        <v>115</v>
      </c>
      <c r="F131" t="s">
        <v>29</v>
      </c>
      <c r="G131">
        <v>1</v>
      </c>
      <c r="H131">
        <v>3.39</v>
      </c>
      <c r="I131" t="s">
        <v>30</v>
      </c>
      <c r="J131">
        <v>11</v>
      </c>
      <c r="K131">
        <v>0</v>
      </c>
      <c r="L131">
        <v>6</v>
      </c>
      <c r="M131">
        <v>4</v>
      </c>
      <c r="N131">
        <v>3.39</v>
      </c>
    </row>
    <row r="132" spans="1:14">
      <c r="A132" t="s">
        <v>1166</v>
      </c>
      <c r="B132" s="3">
        <v>46185</v>
      </c>
      <c r="C132" t="s">
        <v>209</v>
      </c>
      <c r="D132" t="s">
        <v>72</v>
      </c>
      <c r="E132" t="s">
        <v>85</v>
      </c>
      <c r="F132" t="s">
        <v>18</v>
      </c>
      <c r="G132">
        <v>1</v>
      </c>
      <c r="H132">
        <v>2.4900000000000002</v>
      </c>
      <c r="I132" t="s">
        <v>19</v>
      </c>
      <c r="J132">
        <v>7</v>
      </c>
      <c r="K132">
        <v>0</v>
      </c>
      <c r="L132">
        <v>7</v>
      </c>
      <c r="M132">
        <v>6.5</v>
      </c>
      <c r="N132">
        <v>2.4900000000000002</v>
      </c>
    </row>
    <row r="133" spans="1:14">
      <c r="A133" t="s">
        <v>104</v>
      </c>
      <c r="B133" s="3">
        <v>46185</v>
      </c>
      <c r="C133" t="s">
        <v>105</v>
      </c>
      <c r="D133" t="s">
        <v>72</v>
      </c>
      <c r="E133" t="s">
        <v>106</v>
      </c>
      <c r="F133" t="s">
        <v>18</v>
      </c>
      <c r="G133">
        <v>3</v>
      </c>
      <c r="H133">
        <v>1.89</v>
      </c>
      <c r="I133" t="s">
        <v>19</v>
      </c>
      <c r="J133">
        <v>47</v>
      </c>
      <c r="K133">
        <v>0</v>
      </c>
      <c r="L133">
        <v>9</v>
      </c>
      <c r="M133">
        <v>4</v>
      </c>
      <c r="N133">
        <v>5.67</v>
      </c>
    </row>
    <row r="134" spans="1:14">
      <c r="A134" t="s">
        <v>133</v>
      </c>
      <c r="B134" s="3">
        <v>46185</v>
      </c>
      <c r="C134" t="s">
        <v>134</v>
      </c>
      <c r="D134" t="s">
        <v>72</v>
      </c>
      <c r="E134" t="s">
        <v>120</v>
      </c>
      <c r="F134" t="s">
        <v>50</v>
      </c>
      <c r="G134">
        <v>1</v>
      </c>
      <c r="H134">
        <v>2.25</v>
      </c>
      <c r="I134" t="s">
        <v>19</v>
      </c>
      <c r="J134">
        <v>52</v>
      </c>
      <c r="K134">
        <v>0</v>
      </c>
      <c r="L134">
        <v>5</v>
      </c>
      <c r="M134">
        <v>3.7</v>
      </c>
      <c r="N134">
        <v>2.25</v>
      </c>
    </row>
    <row r="135" spans="1:14">
      <c r="A135" t="s">
        <v>1114</v>
      </c>
      <c r="B135" s="3">
        <v>46185</v>
      </c>
      <c r="C135" t="s">
        <v>101</v>
      </c>
      <c r="D135" t="s">
        <v>72</v>
      </c>
      <c r="E135" t="s">
        <v>42</v>
      </c>
      <c r="F135" t="s">
        <v>43</v>
      </c>
      <c r="G135">
        <v>2</v>
      </c>
      <c r="H135">
        <v>1.39</v>
      </c>
      <c r="I135" t="s">
        <v>19</v>
      </c>
      <c r="J135">
        <v>44</v>
      </c>
      <c r="K135">
        <v>0</v>
      </c>
      <c r="L135">
        <v>4</v>
      </c>
      <c r="M135">
        <v>4.5</v>
      </c>
      <c r="N135">
        <v>2.78</v>
      </c>
    </row>
    <row r="136" spans="1:14">
      <c r="A136" t="s">
        <v>1099</v>
      </c>
      <c r="B136" s="3">
        <v>46185</v>
      </c>
      <c r="C136" t="s">
        <v>272</v>
      </c>
      <c r="D136" t="s">
        <v>72</v>
      </c>
      <c r="E136" t="s">
        <v>106</v>
      </c>
      <c r="F136" t="s">
        <v>18</v>
      </c>
      <c r="G136">
        <v>2</v>
      </c>
      <c r="H136">
        <v>1.61</v>
      </c>
      <c r="I136" t="s">
        <v>30</v>
      </c>
      <c r="J136">
        <v>10</v>
      </c>
      <c r="K136">
        <v>0</v>
      </c>
      <c r="L136">
        <v>6</v>
      </c>
      <c r="M136">
        <v>6.1</v>
      </c>
      <c r="N136">
        <v>3.22</v>
      </c>
    </row>
    <row r="137" spans="1:14">
      <c r="A137" t="s">
        <v>1077</v>
      </c>
      <c r="B137" s="3">
        <v>46185</v>
      </c>
      <c r="C137" t="s">
        <v>347</v>
      </c>
      <c r="D137" t="s">
        <v>72</v>
      </c>
      <c r="E137" t="s">
        <v>57</v>
      </c>
      <c r="F137" t="s">
        <v>43</v>
      </c>
      <c r="G137">
        <v>2</v>
      </c>
      <c r="H137">
        <v>1.69</v>
      </c>
      <c r="I137" t="s">
        <v>19</v>
      </c>
      <c r="J137">
        <v>16</v>
      </c>
      <c r="K137">
        <v>0</v>
      </c>
      <c r="L137">
        <v>7</v>
      </c>
      <c r="M137">
        <v>3.8</v>
      </c>
      <c r="N137">
        <v>3.38</v>
      </c>
    </row>
    <row r="138" spans="1:14">
      <c r="A138" t="s">
        <v>978</v>
      </c>
      <c r="B138" s="3">
        <v>46185</v>
      </c>
      <c r="C138" t="s">
        <v>52</v>
      </c>
      <c r="D138" t="s">
        <v>72</v>
      </c>
      <c r="E138" t="s">
        <v>28</v>
      </c>
      <c r="F138" t="s">
        <v>29</v>
      </c>
      <c r="G138">
        <v>3</v>
      </c>
      <c r="H138">
        <v>3.29</v>
      </c>
      <c r="I138" t="s">
        <v>19</v>
      </c>
      <c r="J138">
        <v>55</v>
      </c>
      <c r="K138">
        <v>0</v>
      </c>
      <c r="L138">
        <v>7</v>
      </c>
      <c r="M138">
        <v>1.1000000000000001</v>
      </c>
      <c r="N138">
        <v>9.870000000000001</v>
      </c>
    </row>
    <row r="139" spans="1:14">
      <c r="A139" t="s">
        <v>928</v>
      </c>
      <c r="B139" s="3">
        <v>46185</v>
      </c>
      <c r="C139" t="s">
        <v>447</v>
      </c>
      <c r="D139" t="s">
        <v>72</v>
      </c>
      <c r="E139" t="s">
        <v>23</v>
      </c>
      <c r="F139" t="s">
        <v>24</v>
      </c>
      <c r="G139">
        <v>1</v>
      </c>
      <c r="H139">
        <v>0.81</v>
      </c>
      <c r="I139" t="s">
        <v>30</v>
      </c>
      <c r="J139">
        <v>46</v>
      </c>
      <c r="K139">
        <v>0</v>
      </c>
      <c r="L139">
        <v>5</v>
      </c>
      <c r="M139">
        <v>3.7</v>
      </c>
      <c r="N139">
        <v>0.81</v>
      </c>
    </row>
    <row r="140" spans="1:14">
      <c r="A140" t="s">
        <v>661</v>
      </c>
      <c r="B140" s="3">
        <v>46185</v>
      </c>
      <c r="C140" t="s">
        <v>397</v>
      </c>
      <c r="D140" t="s">
        <v>72</v>
      </c>
      <c r="E140" t="s">
        <v>46</v>
      </c>
      <c r="F140" t="s">
        <v>24</v>
      </c>
      <c r="G140">
        <v>1</v>
      </c>
      <c r="H140">
        <v>1.79</v>
      </c>
      <c r="I140" t="s">
        <v>19</v>
      </c>
      <c r="J140">
        <v>49</v>
      </c>
      <c r="K140">
        <v>2</v>
      </c>
      <c r="L140">
        <v>7</v>
      </c>
      <c r="M140">
        <v>2.4</v>
      </c>
      <c r="N140">
        <v>1.79</v>
      </c>
    </row>
    <row r="141" spans="1:14">
      <c r="A141" t="s">
        <v>474</v>
      </c>
      <c r="B141" s="3">
        <v>46185</v>
      </c>
      <c r="C141" t="s">
        <v>362</v>
      </c>
      <c r="D141" t="s">
        <v>72</v>
      </c>
      <c r="E141" t="s">
        <v>106</v>
      </c>
      <c r="F141" t="s">
        <v>18</v>
      </c>
      <c r="G141">
        <v>2</v>
      </c>
      <c r="H141">
        <v>1.89</v>
      </c>
      <c r="I141" t="s">
        <v>19</v>
      </c>
      <c r="J141">
        <v>57</v>
      </c>
      <c r="K141">
        <v>0</v>
      </c>
      <c r="L141">
        <v>9</v>
      </c>
      <c r="M141">
        <v>2.9</v>
      </c>
      <c r="N141">
        <v>3.78</v>
      </c>
    </row>
    <row r="142" spans="1:14">
      <c r="A142" t="s">
        <v>593</v>
      </c>
      <c r="B142" s="3">
        <v>46185</v>
      </c>
      <c r="C142" t="s">
        <v>594</v>
      </c>
      <c r="D142" t="s">
        <v>72</v>
      </c>
      <c r="E142" t="s">
        <v>17</v>
      </c>
      <c r="F142" t="s">
        <v>18</v>
      </c>
      <c r="G142">
        <v>4</v>
      </c>
      <c r="H142">
        <v>1.75</v>
      </c>
      <c r="I142" t="s">
        <v>19</v>
      </c>
      <c r="J142">
        <v>23</v>
      </c>
      <c r="K142">
        <v>1</v>
      </c>
      <c r="L142">
        <v>7</v>
      </c>
      <c r="M142">
        <v>1.2</v>
      </c>
      <c r="N142">
        <v>7</v>
      </c>
    </row>
    <row r="143" spans="1:14">
      <c r="A143" t="s">
        <v>529</v>
      </c>
      <c r="B143" s="3">
        <v>46185</v>
      </c>
      <c r="C143" t="s">
        <v>142</v>
      </c>
      <c r="D143" t="s">
        <v>72</v>
      </c>
      <c r="E143" t="s">
        <v>28</v>
      </c>
      <c r="F143" t="s">
        <v>29</v>
      </c>
      <c r="G143">
        <v>1</v>
      </c>
      <c r="H143">
        <v>3.29</v>
      </c>
      <c r="I143" t="s">
        <v>19</v>
      </c>
      <c r="J143">
        <v>38</v>
      </c>
      <c r="K143">
        <v>0</v>
      </c>
      <c r="L143">
        <v>6</v>
      </c>
      <c r="M143">
        <v>4.8</v>
      </c>
      <c r="N143">
        <v>3.29</v>
      </c>
    </row>
    <row r="144" spans="1:14">
      <c r="A144" t="s">
        <v>1068</v>
      </c>
      <c r="B144" s="3">
        <v>46186</v>
      </c>
      <c r="C144" t="s">
        <v>132</v>
      </c>
      <c r="D144" t="s">
        <v>66</v>
      </c>
      <c r="E144" t="s">
        <v>46</v>
      </c>
      <c r="F144" t="s">
        <v>24</v>
      </c>
      <c r="G144">
        <v>1</v>
      </c>
      <c r="H144">
        <v>1.79</v>
      </c>
      <c r="I144" t="s">
        <v>19</v>
      </c>
      <c r="J144">
        <v>52</v>
      </c>
      <c r="K144">
        <v>0</v>
      </c>
      <c r="L144">
        <v>6</v>
      </c>
      <c r="M144">
        <v>3.8</v>
      </c>
      <c r="N144">
        <v>1.79</v>
      </c>
    </row>
    <row r="145" spans="1:14">
      <c r="A145" t="s">
        <v>229</v>
      </c>
      <c r="B145" s="3">
        <v>46186</v>
      </c>
      <c r="C145" t="s">
        <v>230</v>
      </c>
      <c r="D145" t="s">
        <v>66</v>
      </c>
      <c r="E145" t="s">
        <v>28</v>
      </c>
      <c r="F145" t="s">
        <v>29</v>
      </c>
      <c r="G145">
        <v>2</v>
      </c>
      <c r="H145">
        <v>3.29</v>
      </c>
      <c r="I145" t="s">
        <v>19</v>
      </c>
      <c r="J145">
        <v>14</v>
      </c>
      <c r="K145">
        <v>0</v>
      </c>
      <c r="L145">
        <v>8</v>
      </c>
      <c r="M145">
        <v>4.7</v>
      </c>
      <c r="N145">
        <v>6.58</v>
      </c>
    </row>
    <row r="146" spans="1:14">
      <c r="A146" t="s">
        <v>923</v>
      </c>
      <c r="B146" s="3">
        <v>46186</v>
      </c>
      <c r="C146" t="s">
        <v>156</v>
      </c>
      <c r="D146" t="s">
        <v>66</v>
      </c>
      <c r="E146" t="s">
        <v>125</v>
      </c>
      <c r="F146" t="s">
        <v>39</v>
      </c>
      <c r="G146">
        <v>2</v>
      </c>
      <c r="H146">
        <v>1.85</v>
      </c>
      <c r="I146" t="s">
        <v>19</v>
      </c>
      <c r="J146">
        <v>21</v>
      </c>
      <c r="K146">
        <v>0</v>
      </c>
      <c r="L146">
        <v>4</v>
      </c>
      <c r="M146">
        <v>4.5</v>
      </c>
      <c r="N146">
        <v>3.7</v>
      </c>
    </row>
    <row r="147" spans="1:14">
      <c r="A147" t="s">
        <v>310</v>
      </c>
      <c r="B147" s="3">
        <v>46186</v>
      </c>
      <c r="C147" t="s">
        <v>267</v>
      </c>
      <c r="D147" t="s">
        <v>66</v>
      </c>
      <c r="E147" t="s">
        <v>23</v>
      </c>
      <c r="F147" t="s">
        <v>24</v>
      </c>
      <c r="G147">
        <v>1</v>
      </c>
      <c r="H147">
        <v>0.95</v>
      </c>
      <c r="I147" t="s">
        <v>19</v>
      </c>
      <c r="J147">
        <v>53</v>
      </c>
      <c r="K147">
        <v>1</v>
      </c>
      <c r="L147">
        <v>7</v>
      </c>
      <c r="M147">
        <v>2.9</v>
      </c>
      <c r="N147">
        <v>0.95</v>
      </c>
    </row>
    <row r="148" spans="1:14">
      <c r="A148" t="s">
        <v>863</v>
      </c>
      <c r="B148" s="3">
        <v>46186</v>
      </c>
      <c r="C148" t="s">
        <v>340</v>
      </c>
      <c r="D148" t="s">
        <v>66</v>
      </c>
      <c r="E148" t="s">
        <v>49</v>
      </c>
      <c r="F148" t="s">
        <v>50</v>
      </c>
      <c r="G148">
        <v>1</v>
      </c>
      <c r="H148">
        <v>3.95</v>
      </c>
      <c r="I148" t="s">
        <v>19</v>
      </c>
      <c r="J148">
        <v>7</v>
      </c>
      <c r="K148">
        <v>0</v>
      </c>
      <c r="L148">
        <v>6</v>
      </c>
      <c r="M148">
        <v>4.4000000000000004</v>
      </c>
      <c r="N148">
        <v>3.95</v>
      </c>
    </row>
    <row r="149" spans="1:14">
      <c r="A149" t="s">
        <v>669</v>
      </c>
      <c r="B149" s="3">
        <v>46186</v>
      </c>
      <c r="C149" t="s">
        <v>307</v>
      </c>
      <c r="D149" t="s">
        <v>66</v>
      </c>
      <c r="E149" t="s">
        <v>57</v>
      </c>
      <c r="F149" t="s">
        <v>43</v>
      </c>
      <c r="G149">
        <v>1</v>
      </c>
      <c r="H149">
        <v>1.69</v>
      </c>
      <c r="I149" t="s">
        <v>19</v>
      </c>
      <c r="J149">
        <v>56</v>
      </c>
      <c r="K149">
        <v>0</v>
      </c>
      <c r="L149">
        <v>7</v>
      </c>
      <c r="M149">
        <v>4.5</v>
      </c>
      <c r="N149">
        <v>1.69</v>
      </c>
    </row>
    <row r="150" spans="1:14">
      <c r="A150" t="s">
        <v>665</v>
      </c>
      <c r="B150" s="3">
        <v>46186</v>
      </c>
      <c r="C150" t="s">
        <v>327</v>
      </c>
      <c r="D150" t="s">
        <v>66</v>
      </c>
      <c r="E150" t="s">
        <v>78</v>
      </c>
      <c r="F150" t="s">
        <v>39</v>
      </c>
      <c r="G150">
        <v>1</v>
      </c>
      <c r="H150">
        <v>1.32</v>
      </c>
      <c r="I150" t="s">
        <v>30</v>
      </c>
      <c r="J150">
        <v>3</v>
      </c>
      <c r="K150">
        <v>0</v>
      </c>
      <c r="L150">
        <v>8</v>
      </c>
      <c r="M150">
        <v>3.1</v>
      </c>
      <c r="N150">
        <v>1.32</v>
      </c>
    </row>
    <row r="151" spans="1:14">
      <c r="A151" t="s">
        <v>535</v>
      </c>
      <c r="B151" s="3">
        <v>46186</v>
      </c>
      <c r="C151" t="s">
        <v>307</v>
      </c>
      <c r="D151" t="s">
        <v>66</v>
      </c>
      <c r="E151" t="s">
        <v>34</v>
      </c>
      <c r="F151" t="s">
        <v>24</v>
      </c>
      <c r="G151">
        <v>1</v>
      </c>
      <c r="H151">
        <v>1.49</v>
      </c>
      <c r="I151" t="s">
        <v>19</v>
      </c>
      <c r="J151">
        <v>40</v>
      </c>
      <c r="K151">
        <v>0</v>
      </c>
      <c r="L151">
        <v>6</v>
      </c>
      <c r="M151">
        <v>3.8</v>
      </c>
      <c r="N151">
        <v>1.49</v>
      </c>
    </row>
    <row r="152" spans="1:14">
      <c r="A152" t="s">
        <v>1091</v>
      </c>
      <c r="B152" s="3">
        <v>46187</v>
      </c>
      <c r="C152" t="s">
        <v>345</v>
      </c>
      <c r="D152" t="s">
        <v>27</v>
      </c>
      <c r="E152" t="s">
        <v>28</v>
      </c>
      <c r="F152" t="s">
        <v>29</v>
      </c>
      <c r="G152">
        <v>2</v>
      </c>
      <c r="H152">
        <v>3.29</v>
      </c>
      <c r="I152" t="s">
        <v>19</v>
      </c>
      <c r="J152">
        <v>26</v>
      </c>
      <c r="K152">
        <v>0</v>
      </c>
      <c r="L152">
        <v>6</v>
      </c>
      <c r="M152">
        <v>5.3</v>
      </c>
      <c r="N152">
        <v>6.58</v>
      </c>
    </row>
    <row r="153" spans="1:14">
      <c r="A153" t="s">
        <v>1043</v>
      </c>
      <c r="B153" s="3">
        <v>46187</v>
      </c>
      <c r="C153" t="s">
        <v>99</v>
      </c>
      <c r="D153" t="s">
        <v>27</v>
      </c>
      <c r="E153" t="s">
        <v>23</v>
      </c>
      <c r="F153" t="s">
        <v>24</v>
      </c>
      <c r="G153">
        <v>2</v>
      </c>
      <c r="H153">
        <v>0.95</v>
      </c>
      <c r="I153" t="s">
        <v>19</v>
      </c>
      <c r="J153">
        <v>58</v>
      </c>
      <c r="K153">
        <v>3</v>
      </c>
      <c r="L153">
        <v>5</v>
      </c>
      <c r="M153">
        <v>3.5</v>
      </c>
      <c r="N153">
        <v>1.9</v>
      </c>
    </row>
    <row r="154" spans="1:14">
      <c r="A154" t="s">
        <v>892</v>
      </c>
      <c r="B154" s="3">
        <v>46187</v>
      </c>
      <c r="C154" t="s">
        <v>458</v>
      </c>
      <c r="D154" t="s">
        <v>27</v>
      </c>
      <c r="E154" t="s">
        <v>46</v>
      </c>
      <c r="F154" t="s">
        <v>24</v>
      </c>
      <c r="G154">
        <v>2</v>
      </c>
      <c r="H154">
        <v>1.79</v>
      </c>
      <c r="I154" t="s">
        <v>19</v>
      </c>
      <c r="J154">
        <v>15</v>
      </c>
      <c r="K154">
        <v>0</v>
      </c>
      <c r="L154">
        <v>8</v>
      </c>
      <c r="M154">
        <v>6.4</v>
      </c>
      <c r="N154">
        <v>3.58</v>
      </c>
    </row>
    <row r="155" spans="1:14">
      <c r="A155" t="s">
        <v>859</v>
      </c>
      <c r="B155" s="3">
        <v>46187</v>
      </c>
      <c r="C155" t="s">
        <v>97</v>
      </c>
      <c r="D155" t="s">
        <v>27</v>
      </c>
      <c r="E155" t="s">
        <v>34</v>
      </c>
      <c r="F155" t="s">
        <v>24</v>
      </c>
      <c r="G155">
        <v>1</v>
      </c>
      <c r="H155">
        <v>1.49</v>
      </c>
      <c r="I155" t="s">
        <v>19</v>
      </c>
      <c r="J155">
        <v>36</v>
      </c>
      <c r="K155">
        <v>0</v>
      </c>
      <c r="L155">
        <v>7</v>
      </c>
      <c r="M155">
        <v>1.3</v>
      </c>
      <c r="N155">
        <v>1.49</v>
      </c>
    </row>
    <row r="156" spans="1:14">
      <c r="A156" t="s">
        <v>834</v>
      </c>
      <c r="B156" s="3">
        <v>46187</v>
      </c>
      <c r="C156" t="s">
        <v>99</v>
      </c>
      <c r="D156" t="s">
        <v>27</v>
      </c>
      <c r="E156" t="s">
        <v>34</v>
      </c>
      <c r="F156" t="s">
        <v>24</v>
      </c>
      <c r="G156">
        <v>1</v>
      </c>
      <c r="H156">
        <v>1.49</v>
      </c>
      <c r="I156" t="s">
        <v>19</v>
      </c>
      <c r="J156">
        <v>58</v>
      </c>
      <c r="K156">
        <v>0</v>
      </c>
      <c r="L156">
        <v>5</v>
      </c>
      <c r="M156">
        <v>3.1</v>
      </c>
      <c r="N156">
        <v>1.49</v>
      </c>
    </row>
    <row r="157" spans="1:14">
      <c r="A157" t="s">
        <v>814</v>
      </c>
      <c r="B157" s="3">
        <v>46187</v>
      </c>
      <c r="C157" t="s">
        <v>77</v>
      </c>
      <c r="D157" t="s">
        <v>27</v>
      </c>
      <c r="E157" t="s">
        <v>115</v>
      </c>
      <c r="F157" t="s">
        <v>29</v>
      </c>
      <c r="G157">
        <v>1</v>
      </c>
      <c r="H157">
        <v>3.99</v>
      </c>
      <c r="I157" t="s">
        <v>19</v>
      </c>
      <c r="J157">
        <v>6</v>
      </c>
      <c r="K157">
        <v>0</v>
      </c>
      <c r="L157">
        <v>6</v>
      </c>
      <c r="M157">
        <v>5.0999999999999996</v>
      </c>
      <c r="N157">
        <v>3.99</v>
      </c>
    </row>
    <row r="158" spans="1:14">
      <c r="A158" t="s">
        <v>678</v>
      </c>
      <c r="B158" s="3">
        <v>46187</v>
      </c>
      <c r="C158" t="s">
        <v>303</v>
      </c>
      <c r="D158" t="s">
        <v>27</v>
      </c>
      <c r="E158" t="s">
        <v>63</v>
      </c>
      <c r="F158" t="s">
        <v>50</v>
      </c>
      <c r="G158">
        <v>1</v>
      </c>
      <c r="H158">
        <v>2.97</v>
      </c>
      <c r="I158" t="s">
        <v>30</v>
      </c>
      <c r="J158">
        <v>27</v>
      </c>
      <c r="K158">
        <v>0</v>
      </c>
      <c r="L158">
        <v>5</v>
      </c>
      <c r="M158">
        <v>3.9</v>
      </c>
      <c r="N158">
        <v>2.97</v>
      </c>
    </row>
    <row r="159" spans="1:14">
      <c r="A159" t="s">
        <v>546</v>
      </c>
      <c r="B159" s="3">
        <v>46187</v>
      </c>
      <c r="C159" t="s">
        <v>335</v>
      </c>
      <c r="D159" t="s">
        <v>27</v>
      </c>
      <c r="E159" t="s">
        <v>49</v>
      </c>
      <c r="F159" t="s">
        <v>50</v>
      </c>
      <c r="G159">
        <v>1</v>
      </c>
      <c r="H159">
        <v>3.95</v>
      </c>
      <c r="I159" t="s">
        <v>19</v>
      </c>
      <c r="J159">
        <v>36</v>
      </c>
      <c r="K159">
        <v>0</v>
      </c>
      <c r="L159">
        <v>7</v>
      </c>
      <c r="M159">
        <v>5.2</v>
      </c>
      <c r="N159">
        <v>3.95</v>
      </c>
    </row>
    <row r="160" spans="1:14">
      <c r="A160" t="s">
        <v>1213</v>
      </c>
      <c r="B160" s="3">
        <v>46188</v>
      </c>
      <c r="C160" t="s">
        <v>170</v>
      </c>
      <c r="D160" t="s">
        <v>33</v>
      </c>
      <c r="E160" t="s">
        <v>17</v>
      </c>
      <c r="F160" t="s">
        <v>18</v>
      </c>
      <c r="G160">
        <v>1</v>
      </c>
      <c r="H160">
        <v>1.75</v>
      </c>
      <c r="I160" t="s">
        <v>19</v>
      </c>
      <c r="J160">
        <v>23</v>
      </c>
      <c r="K160">
        <v>0</v>
      </c>
      <c r="L160">
        <v>8</v>
      </c>
      <c r="M160">
        <v>5.2</v>
      </c>
      <c r="N160">
        <v>1.75</v>
      </c>
    </row>
    <row r="161" spans="1:14">
      <c r="A161" t="s">
        <v>1207</v>
      </c>
      <c r="B161" s="3">
        <v>46188</v>
      </c>
      <c r="C161" t="s">
        <v>519</v>
      </c>
      <c r="D161" t="s">
        <v>33</v>
      </c>
      <c r="E161" t="s">
        <v>38</v>
      </c>
      <c r="F161" t="s">
        <v>39</v>
      </c>
      <c r="G161">
        <v>1</v>
      </c>
      <c r="H161">
        <v>2.79</v>
      </c>
      <c r="I161" t="s">
        <v>19</v>
      </c>
      <c r="J161">
        <v>47</v>
      </c>
      <c r="K161">
        <v>0</v>
      </c>
      <c r="L161">
        <v>6</v>
      </c>
      <c r="M161">
        <v>3.7</v>
      </c>
      <c r="N161">
        <v>2.79</v>
      </c>
    </row>
    <row r="162" spans="1:14">
      <c r="A162" t="s">
        <v>55</v>
      </c>
      <c r="B162" s="3">
        <v>46188</v>
      </c>
      <c r="C162" t="s">
        <v>56</v>
      </c>
      <c r="D162" t="s">
        <v>33</v>
      </c>
      <c r="E162" t="s">
        <v>57</v>
      </c>
      <c r="F162" t="s">
        <v>43</v>
      </c>
      <c r="G162">
        <v>1</v>
      </c>
      <c r="H162">
        <v>1.69</v>
      </c>
      <c r="I162" t="s">
        <v>19</v>
      </c>
      <c r="J162">
        <v>46</v>
      </c>
      <c r="K162">
        <v>0</v>
      </c>
      <c r="L162">
        <v>8</v>
      </c>
      <c r="M162">
        <v>6</v>
      </c>
      <c r="N162">
        <v>1.69</v>
      </c>
    </row>
    <row r="163" spans="1:14">
      <c r="A163" t="s">
        <v>58</v>
      </c>
      <c r="B163" s="3">
        <v>46188</v>
      </c>
      <c r="C163" t="s">
        <v>59</v>
      </c>
      <c r="D163" t="s">
        <v>33</v>
      </c>
      <c r="E163" t="s">
        <v>60</v>
      </c>
      <c r="F163" t="s">
        <v>29</v>
      </c>
      <c r="G163">
        <v>1</v>
      </c>
      <c r="H163">
        <v>2.29</v>
      </c>
      <c r="I163" t="s">
        <v>30</v>
      </c>
      <c r="J163">
        <v>50</v>
      </c>
      <c r="K163">
        <v>0</v>
      </c>
      <c r="L163">
        <v>6</v>
      </c>
      <c r="M163">
        <v>6.5</v>
      </c>
      <c r="N163">
        <v>2.29</v>
      </c>
    </row>
    <row r="164" spans="1:14">
      <c r="A164" t="s">
        <v>94</v>
      </c>
      <c r="B164" s="3">
        <v>46188</v>
      </c>
      <c r="C164" t="s">
        <v>95</v>
      </c>
      <c r="D164" t="s">
        <v>33</v>
      </c>
      <c r="E164" t="s">
        <v>23</v>
      </c>
      <c r="F164" t="s">
        <v>24</v>
      </c>
      <c r="G164">
        <v>1</v>
      </c>
      <c r="H164">
        <v>0.95</v>
      </c>
      <c r="I164" t="s">
        <v>19</v>
      </c>
      <c r="J164">
        <v>28</v>
      </c>
      <c r="K164">
        <v>1</v>
      </c>
      <c r="L164">
        <v>6</v>
      </c>
      <c r="M164">
        <v>1.8</v>
      </c>
      <c r="N164">
        <v>0.95</v>
      </c>
    </row>
    <row r="165" spans="1:14">
      <c r="A165" t="s">
        <v>1136</v>
      </c>
      <c r="B165" s="3">
        <v>46188</v>
      </c>
      <c r="C165" t="s">
        <v>211</v>
      </c>
      <c r="D165" t="s">
        <v>33</v>
      </c>
      <c r="E165" t="s">
        <v>34</v>
      </c>
      <c r="F165" t="s">
        <v>24</v>
      </c>
      <c r="G165">
        <v>2</v>
      </c>
      <c r="H165">
        <v>1.49</v>
      </c>
      <c r="I165" t="s">
        <v>19</v>
      </c>
      <c r="J165">
        <v>18</v>
      </c>
      <c r="K165">
        <v>2</v>
      </c>
      <c r="L165">
        <v>7</v>
      </c>
      <c r="M165">
        <v>2.2000000000000002</v>
      </c>
      <c r="N165">
        <v>2.98</v>
      </c>
    </row>
    <row r="166" spans="1:14">
      <c r="A166" t="s">
        <v>1078</v>
      </c>
      <c r="B166" s="3">
        <v>46188</v>
      </c>
      <c r="C166" t="s">
        <v>170</v>
      </c>
      <c r="D166" t="s">
        <v>33</v>
      </c>
      <c r="E166" t="s">
        <v>63</v>
      </c>
      <c r="F166" t="s">
        <v>50</v>
      </c>
      <c r="G166">
        <v>1</v>
      </c>
      <c r="H166">
        <v>3.49</v>
      </c>
      <c r="I166" t="s">
        <v>19</v>
      </c>
      <c r="J166">
        <v>27</v>
      </c>
      <c r="K166">
        <v>0</v>
      </c>
      <c r="L166">
        <v>7</v>
      </c>
      <c r="M166">
        <v>4.5999999999999996</v>
      </c>
      <c r="N166">
        <v>3.49</v>
      </c>
    </row>
    <row r="167" spans="1:14">
      <c r="A167" t="s">
        <v>1075</v>
      </c>
      <c r="B167" s="3">
        <v>46188</v>
      </c>
      <c r="C167" t="s">
        <v>1076</v>
      </c>
      <c r="D167" t="s">
        <v>33</v>
      </c>
      <c r="E167" t="s">
        <v>17</v>
      </c>
      <c r="F167" t="s">
        <v>18</v>
      </c>
      <c r="G167">
        <v>1</v>
      </c>
      <c r="H167">
        <v>1.75</v>
      </c>
      <c r="I167" t="s">
        <v>19</v>
      </c>
      <c r="J167">
        <v>55</v>
      </c>
      <c r="K167">
        <v>0</v>
      </c>
      <c r="L167">
        <v>6</v>
      </c>
      <c r="M167">
        <v>2.2000000000000002</v>
      </c>
      <c r="N167">
        <v>1.75</v>
      </c>
    </row>
    <row r="168" spans="1:14">
      <c r="A168" t="s">
        <v>1074</v>
      </c>
      <c r="B168" s="3">
        <v>46188</v>
      </c>
      <c r="C168" t="s">
        <v>519</v>
      </c>
      <c r="D168" t="s">
        <v>33</v>
      </c>
      <c r="E168" t="s">
        <v>63</v>
      </c>
      <c r="F168" t="s">
        <v>50</v>
      </c>
      <c r="G168">
        <v>3</v>
      </c>
      <c r="H168">
        <v>3.49</v>
      </c>
      <c r="I168" t="s">
        <v>19</v>
      </c>
      <c r="J168">
        <v>56</v>
      </c>
      <c r="K168">
        <v>0</v>
      </c>
      <c r="L168">
        <v>8</v>
      </c>
      <c r="M168">
        <v>3.1</v>
      </c>
      <c r="N168">
        <v>10.47</v>
      </c>
    </row>
    <row r="169" spans="1:14">
      <c r="A169" t="s">
        <v>171</v>
      </c>
      <c r="B169" s="3">
        <v>46188</v>
      </c>
      <c r="C169" t="s">
        <v>89</v>
      </c>
      <c r="D169" t="s">
        <v>33</v>
      </c>
      <c r="E169" t="s">
        <v>57</v>
      </c>
      <c r="F169" t="s">
        <v>43</v>
      </c>
      <c r="G169">
        <v>2</v>
      </c>
      <c r="H169">
        <v>1.69</v>
      </c>
      <c r="I169" t="s">
        <v>19</v>
      </c>
      <c r="J169">
        <v>32</v>
      </c>
      <c r="K169">
        <v>2</v>
      </c>
      <c r="L169">
        <v>6</v>
      </c>
      <c r="M169">
        <v>2.6</v>
      </c>
      <c r="N169">
        <v>3.38</v>
      </c>
    </row>
    <row r="170" spans="1:14">
      <c r="A170" t="s">
        <v>173</v>
      </c>
      <c r="B170" s="3">
        <v>46188</v>
      </c>
      <c r="C170" t="s">
        <v>84</v>
      </c>
      <c r="D170" t="s">
        <v>33</v>
      </c>
      <c r="E170" t="s">
        <v>69</v>
      </c>
      <c r="F170" t="s">
        <v>43</v>
      </c>
      <c r="G170">
        <v>2</v>
      </c>
      <c r="H170">
        <v>1.99</v>
      </c>
      <c r="I170" t="s">
        <v>19</v>
      </c>
      <c r="J170">
        <v>25</v>
      </c>
      <c r="K170">
        <v>0</v>
      </c>
      <c r="L170">
        <v>5</v>
      </c>
      <c r="M170">
        <v>4.5999999999999996</v>
      </c>
      <c r="N170">
        <v>3.98</v>
      </c>
    </row>
    <row r="171" spans="1:14">
      <c r="A171" t="s">
        <v>188</v>
      </c>
      <c r="B171" s="3">
        <v>46188</v>
      </c>
      <c r="C171" t="s">
        <v>189</v>
      </c>
      <c r="D171" t="s">
        <v>33</v>
      </c>
      <c r="E171" t="s">
        <v>115</v>
      </c>
      <c r="F171" t="s">
        <v>29</v>
      </c>
      <c r="G171">
        <v>2</v>
      </c>
      <c r="H171">
        <v>3.99</v>
      </c>
      <c r="I171" t="s">
        <v>19</v>
      </c>
      <c r="J171">
        <v>34</v>
      </c>
      <c r="K171">
        <v>0</v>
      </c>
      <c r="L171">
        <v>6</v>
      </c>
      <c r="M171">
        <v>5.6</v>
      </c>
      <c r="N171">
        <v>7.98</v>
      </c>
    </row>
    <row r="172" spans="1:14">
      <c r="A172" t="s">
        <v>1050</v>
      </c>
      <c r="B172" s="3">
        <v>46188</v>
      </c>
      <c r="C172" t="s">
        <v>48</v>
      </c>
      <c r="D172" t="s">
        <v>33</v>
      </c>
      <c r="E172" t="s">
        <v>69</v>
      </c>
      <c r="F172" t="s">
        <v>43</v>
      </c>
      <c r="G172">
        <v>1</v>
      </c>
      <c r="H172">
        <v>1.99</v>
      </c>
      <c r="I172" t="s">
        <v>19</v>
      </c>
      <c r="J172">
        <v>19</v>
      </c>
      <c r="K172">
        <v>0</v>
      </c>
      <c r="L172">
        <v>6</v>
      </c>
      <c r="M172">
        <v>3.4</v>
      </c>
      <c r="N172">
        <v>1.99</v>
      </c>
    </row>
    <row r="173" spans="1:14">
      <c r="A173" t="s">
        <v>240</v>
      </c>
      <c r="B173" s="3">
        <v>46188</v>
      </c>
      <c r="C173" t="s">
        <v>241</v>
      </c>
      <c r="D173" t="s">
        <v>33</v>
      </c>
      <c r="E173" t="s">
        <v>69</v>
      </c>
      <c r="F173" t="s">
        <v>43</v>
      </c>
      <c r="G173">
        <v>1</v>
      </c>
      <c r="H173">
        <v>1.99</v>
      </c>
      <c r="I173" t="s">
        <v>19</v>
      </c>
      <c r="J173">
        <v>41</v>
      </c>
      <c r="K173">
        <v>0</v>
      </c>
      <c r="L173">
        <v>7</v>
      </c>
      <c r="M173">
        <v>2.7</v>
      </c>
      <c r="N173">
        <v>1.99</v>
      </c>
    </row>
    <row r="174" spans="1:14">
      <c r="A174" t="s">
        <v>260</v>
      </c>
      <c r="B174" s="3">
        <v>46188</v>
      </c>
      <c r="C174" t="s">
        <v>232</v>
      </c>
      <c r="D174" t="s">
        <v>33</v>
      </c>
      <c r="E174" t="s">
        <v>23</v>
      </c>
      <c r="F174" t="s">
        <v>24</v>
      </c>
      <c r="G174">
        <v>2</v>
      </c>
      <c r="H174">
        <v>0.81</v>
      </c>
      <c r="I174" t="s">
        <v>30</v>
      </c>
      <c r="J174">
        <v>27</v>
      </c>
      <c r="K174">
        <v>0</v>
      </c>
      <c r="L174">
        <v>9</v>
      </c>
      <c r="M174">
        <v>5.4</v>
      </c>
      <c r="N174">
        <v>1.62</v>
      </c>
    </row>
    <row r="175" spans="1:14">
      <c r="A175" t="s">
        <v>954</v>
      </c>
      <c r="B175" s="3">
        <v>46188</v>
      </c>
      <c r="C175" t="s">
        <v>672</v>
      </c>
      <c r="D175" t="s">
        <v>33</v>
      </c>
      <c r="E175" t="s">
        <v>85</v>
      </c>
      <c r="F175" t="s">
        <v>18</v>
      </c>
      <c r="G175">
        <v>1</v>
      </c>
      <c r="H175">
        <v>2.4900000000000002</v>
      </c>
      <c r="I175" t="s">
        <v>19</v>
      </c>
      <c r="J175">
        <v>41</v>
      </c>
      <c r="K175">
        <v>1</v>
      </c>
      <c r="L175">
        <v>5</v>
      </c>
      <c r="M175">
        <v>2.6</v>
      </c>
      <c r="N175">
        <v>2.4900000000000002</v>
      </c>
    </row>
    <row r="176" spans="1:14">
      <c r="A176" t="s">
        <v>935</v>
      </c>
      <c r="B176" s="3">
        <v>46188</v>
      </c>
      <c r="C176" t="s">
        <v>108</v>
      </c>
      <c r="D176" t="s">
        <v>33</v>
      </c>
      <c r="E176" t="s">
        <v>115</v>
      </c>
      <c r="F176" t="s">
        <v>29</v>
      </c>
      <c r="G176">
        <v>3</v>
      </c>
      <c r="H176">
        <v>3.39</v>
      </c>
      <c r="I176" t="s">
        <v>30</v>
      </c>
      <c r="J176">
        <v>12</v>
      </c>
      <c r="K176">
        <v>0</v>
      </c>
      <c r="L176">
        <v>4</v>
      </c>
      <c r="M176">
        <v>3.4</v>
      </c>
      <c r="N176">
        <v>10.17</v>
      </c>
    </row>
    <row r="177" spans="1:14">
      <c r="A177" t="s">
        <v>879</v>
      </c>
      <c r="B177" s="3">
        <v>46188</v>
      </c>
      <c r="C177" t="s">
        <v>101</v>
      </c>
      <c r="D177" t="s">
        <v>33</v>
      </c>
      <c r="E177" t="s">
        <v>34</v>
      </c>
      <c r="F177" t="s">
        <v>24</v>
      </c>
      <c r="G177">
        <v>2</v>
      </c>
      <c r="H177">
        <v>1.49</v>
      </c>
      <c r="I177" t="s">
        <v>19</v>
      </c>
      <c r="J177">
        <v>7</v>
      </c>
      <c r="K177">
        <v>0</v>
      </c>
      <c r="L177">
        <v>7</v>
      </c>
      <c r="M177">
        <v>1.2</v>
      </c>
      <c r="N177">
        <v>2.98</v>
      </c>
    </row>
    <row r="178" spans="1:14">
      <c r="A178" t="s">
        <v>376</v>
      </c>
      <c r="B178" s="3">
        <v>46188</v>
      </c>
      <c r="C178" t="s">
        <v>132</v>
      </c>
      <c r="D178" t="s">
        <v>33</v>
      </c>
      <c r="E178" t="s">
        <v>60</v>
      </c>
      <c r="F178" t="s">
        <v>29</v>
      </c>
      <c r="G178">
        <v>1</v>
      </c>
      <c r="H178">
        <v>2.69</v>
      </c>
      <c r="I178" t="s">
        <v>19</v>
      </c>
      <c r="J178">
        <v>57</v>
      </c>
      <c r="K178">
        <v>0</v>
      </c>
      <c r="L178">
        <v>9</v>
      </c>
      <c r="M178">
        <v>4.8</v>
      </c>
      <c r="N178">
        <v>2.69</v>
      </c>
    </row>
    <row r="179" spans="1:14">
      <c r="A179" t="s">
        <v>737</v>
      </c>
      <c r="B179" s="3">
        <v>46188</v>
      </c>
      <c r="C179" t="s">
        <v>89</v>
      </c>
      <c r="D179" t="s">
        <v>33</v>
      </c>
      <c r="E179" t="s">
        <v>106</v>
      </c>
      <c r="F179" t="s">
        <v>18</v>
      </c>
      <c r="G179">
        <v>1</v>
      </c>
      <c r="H179">
        <v>1.89</v>
      </c>
      <c r="I179" t="s">
        <v>19</v>
      </c>
      <c r="J179">
        <v>21</v>
      </c>
      <c r="K179">
        <v>0</v>
      </c>
      <c r="L179">
        <v>6</v>
      </c>
      <c r="M179">
        <v>2.7</v>
      </c>
      <c r="N179">
        <v>1.89</v>
      </c>
    </row>
    <row r="180" spans="1:14">
      <c r="A180" t="s">
        <v>685</v>
      </c>
      <c r="B180" s="3">
        <v>46188</v>
      </c>
      <c r="C180" t="s">
        <v>300</v>
      </c>
      <c r="D180" t="s">
        <v>33</v>
      </c>
      <c r="E180" t="s">
        <v>34</v>
      </c>
      <c r="F180" t="s">
        <v>24</v>
      </c>
      <c r="G180">
        <v>2</v>
      </c>
      <c r="H180">
        <v>1.49</v>
      </c>
      <c r="I180" t="s">
        <v>19</v>
      </c>
      <c r="J180">
        <v>32</v>
      </c>
      <c r="K180">
        <v>0</v>
      </c>
      <c r="L180">
        <v>6</v>
      </c>
      <c r="M180">
        <v>4.5</v>
      </c>
      <c r="N180">
        <v>2.98</v>
      </c>
    </row>
    <row r="181" spans="1:14">
      <c r="A181" t="s">
        <v>559</v>
      </c>
      <c r="B181" s="3">
        <v>46188</v>
      </c>
      <c r="C181" t="s">
        <v>560</v>
      </c>
      <c r="D181" t="s">
        <v>33</v>
      </c>
      <c r="E181" t="s">
        <v>46</v>
      </c>
      <c r="F181" t="s">
        <v>24</v>
      </c>
      <c r="G181">
        <v>2</v>
      </c>
      <c r="H181">
        <v>1.52</v>
      </c>
      <c r="I181" t="s">
        <v>30</v>
      </c>
      <c r="J181">
        <v>11</v>
      </c>
      <c r="K181">
        <v>2</v>
      </c>
      <c r="L181">
        <v>4</v>
      </c>
      <c r="M181">
        <v>4.8</v>
      </c>
      <c r="N181">
        <v>3.04</v>
      </c>
    </row>
    <row r="182" spans="1:14">
      <c r="A182" t="s">
        <v>1025</v>
      </c>
      <c r="B182" s="3">
        <v>46189</v>
      </c>
      <c r="C182" t="s">
        <v>189</v>
      </c>
      <c r="D182" t="s">
        <v>22</v>
      </c>
      <c r="E182" t="s">
        <v>57</v>
      </c>
      <c r="F182" t="s">
        <v>43</v>
      </c>
      <c r="G182">
        <v>2</v>
      </c>
      <c r="H182">
        <v>1.69</v>
      </c>
      <c r="I182" t="s">
        <v>19</v>
      </c>
      <c r="J182">
        <v>46</v>
      </c>
      <c r="K182">
        <v>0</v>
      </c>
      <c r="L182">
        <v>6</v>
      </c>
      <c r="M182">
        <v>4.9000000000000004</v>
      </c>
      <c r="N182">
        <v>3.38</v>
      </c>
    </row>
    <row r="183" spans="1:14">
      <c r="A183" t="s">
        <v>1001</v>
      </c>
      <c r="B183" s="3">
        <v>46189</v>
      </c>
      <c r="C183" t="s">
        <v>247</v>
      </c>
      <c r="D183" t="s">
        <v>22</v>
      </c>
      <c r="E183" t="s">
        <v>69</v>
      </c>
      <c r="F183" t="s">
        <v>43</v>
      </c>
      <c r="G183">
        <v>1</v>
      </c>
      <c r="H183">
        <v>1.99</v>
      </c>
      <c r="I183" t="s">
        <v>19</v>
      </c>
      <c r="J183">
        <v>25</v>
      </c>
      <c r="K183">
        <v>0</v>
      </c>
      <c r="L183">
        <v>7</v>
      </c>
      <c r="M183">
        <v>6.1</v>
      </c>
      <c r="N183">
        <v>1.99</v>
      </c>
    </row>
    <row r="184" spans="1:14">
      <c r="A184" t="s">
        <v>857</v>
      </c>
      <c r="B184" s="3">
        <v>46189</v>
      </c>
      <c r="C184" t="s">
        <v>144</v>
      </c>
      <c r="D184" t="s">
        <v>22</v>
      </c>
      <c r="E184" t="s">
        <v>106</v>
      </c>
      <c r="F184" t="s">
        <v>18</v>
      </c>
      <c r="G184">
        <v>2</v>
      </c>
      <c r="H184">
        <v>1.61</v>
      </c>
      <c r="I184" t="s">
        <v>30</v>
      </c>
      <c r="J184">
        <v>60</v>
      </c>
      <c r="K184">
        <v>0</v>
      </c>
      <c r="L184">
        <v>6</v>
      </c>
      <c r="M184">
        <v>4.5</v>
      </c>
      <c r="N184">
        <v>3.22</v>
      </c>
    </row>
    <row r="185" spans="1:14">
      <c r="A185" t="s">
        <v>767</v>
      </c>
      <c r="B185" s="3">
        <v>46189</v>
      </c>
      <c r="C185" t="s">
        <v>202</v>
      </c>
      <c r="D185" t="s">
        <v>22</v>
      </c>
      <c r="E185" t="s">
        <v>63</v>
      </c>
      <c r="F185" t="s">
        <v>50</v>
      </c>
      <c r="G185">
        <v>1</v>
      </c>
      <c r="H185">
        <v>3.49</v>
      </c>
      <c r="I185" t="s">
        <v>19</v>
      </c>
      <c r="J185">
        <v>33</v>
      </c>
      <c r="K185">
        <v>0</v>
      </c>
      <c r="L185">
        <v>9</v>
      </c>
      <c r="M185">
        <v>4.4000000000000004</v>
      </c>
      <c r="N185">
        <v>3.49</v>
      </c>
    </row>
    <row r="186" spans="1:14">
      <c r="A186" t="s">
        <v>754</v>
      </c>
      <c r="B186" s="3">
        <v>46189</v>
      </c>
      <c r="C186" t="s">
        <v>137</v>
      </c>
      <c r="D186" t="s">
        <v>22</v>
      </c>
      <c r="E186" t="s">
        <v>34</v>
      </c>
      <c r="F186" t="s">
        <v>24</v>
      </c>
      <c r="G186">
        <v>2</v>
      </c>
      <c r="H186">
        <v>1.27</v>
      </c>
      <c r="I186" t="s">
        <v>30</v>
      </c>
      <c r="J186">
        <v>58</v>
      </c>
      <c r="K186">
        <v>0</v>
      </c>
      <c r="L186">
        <v>6</v>
      </c>
      <c r="M186">
        <v>3.8</v>
      </c>
      <c r="N186">
        <v>2.54</v>
      </c>
    </row>
    <row r="187" spans="1:14">
      <c r="A187" t="s">
        <v>389</v>
      </c>
      <c r="B187" s="3">
        <v>46189</v>
      </c>
      <c r="C187" t="s">
        <v>99</v>
      </c>
      <c r="D187" t="s">
        <v>22</v>
      </c>
      <c r="E187" t="s">
        <v>78</v>
      </c>
      <c r="F187" t="s">
        <v>39</v>
      </c>
      <c r="G187">
        <v>1</v>
      </c>
      <c r="H187">
        <v>1.32</v>
      </c>
      <c r="I187" t="s">
        <v>30</v>
      </c>
      <c r="J187">
        <v>52</v>
      </c>
      <c r="K187">
        <v>0</v>
      </c>
      <c r="L187">
        <v>6</v>
      </c>
      <c r="M187">
        <v>1.3</v>
      </c>
      <c r="N187">
        <v>1.32</v>
      </c>
    </row>
    <row r="188" spans="1:14">
      <c r="A188" t="s">
        <v>736</v>
      </c>
      <c r="B188" s="3">
        <v>46189</v>
      </c>
      <c r="C188" t="s">
        <v>247</v>
      </c>
      <c r="D188" t="s">
        <v>22</v>
      </c>
      <c r="E188" t="s">
        <v>120</v>
      </c>
      <c r="F188" t="s">
        <v>50</v>
      </c>
      <c r="G188">
        <v>3</v>
      </c>
      <c r="H188">
        <v>2.25</v>
      </c>
      <c r="I188" t="s">
        <v>19</v>
      </c>
      <c r="J188">
        <v>54</v>
      </c>
      <c r="K188">
        <v>0</v>
      </c>
      <c r="L188">
        <v>6</v>
      </c>
      <c r="M188">
        <v>4.9000000000000004</v>
      </c>
      <c r="N188">
        <v>6.75</v>
      </c>
    </row>
    <row r="189" spans="1:14">
      <c r="A189" t="s">
        <v>410</v>
      </c>
      <c r="B189" s="3">
        <v>46189</v>
      </c>
      <c r="C189" t="s">
        <v>156</v>
      </c>
      <c r="D189" t="s">
        <v>22</v>
      </c>
      <c r="E189" t="s">
        <v>57</v>
      </c>
      <c r="F189" t="s">
        <v>43</v>
      </c>
      <c r="G189">
        <v>1</v>
      </c>
      <c r="H189">
        <v>1.44</v>
      </c>
      <c r="I189" t="s">
        <v>30</v>
      </c>
      <c r="J189">
        <v>36</v>
      </c>
      <c r="K189">
        <v>0</v>
      </c>
      <c r="L189">
        <v>4</v>
      </c>
      <c r="M189">
        <v>3.5</v>
      </c>
      <c r="N189">
        <v>1.44</v>
      </c>
    </row>
    <row r="190" spans="1:14">
      <c r="A190" t="s">
        <v>473</v>
      </c>
      <c r="B190" s="3">
        <v>46189</v>
      </c>
      <c r="C190" t="s">
        <v>161</v>
      </c>
      <c r="D190" t="s">
        <v>22</v>
      </c>
      <c r="E190" t="s">
        <v>85</v>
      </c>
      <c r="F190" t="s">
        <v>18</v>
      </c>
      <c r="G190">
        <v>2</v>
      </c>
      <c r="H190">
        <v>2.4900000000000002</v>
      </c>
      <c r="I190" t="s">
        <v>19</v>
      </c>
      <c r="J190">
        <v>22</v>
      </c>
      <c r="K190">
        <v>0</v>
      </c>
      <c r="L190">
        <v>7</v>
      </c>
      <c r="M190">
        <v>5.3</v>
      </c>
      <c r="N190">
        <v>4.9800000000000004</v>
      </c>
    </row>
    <row r="191" spans="1:14">
      <c r="A191" t="s">
        <v>525</v>
      </c>
      <c r="B191" s="3">
        <v>46189</v>
      </c>
      <c r="C191" t="s">
        <v>32</v>
      </c>
      <c r="D191" t="s">
        <v>22</v>
      </c>
      <c r="E191" t="s">
        <v>46</v>
      </c>
      <c r="F191" t="s">
        <v>24</v>
      </c>
      <c r="G191">
        <v>3</v>
      </c>
      <c r="H191">
        <v>1.52</v>
      </c>
      <c r="I191" t="s">
        <v>30</v>
      </c>
      <c r="J191">
        <v>58</v>
      </c>
      <c r="K191">
        <v>0</v>
      </c>
      <c r="L191">
        <v>4</v>
      </c>
      <c r="M191">
        <v>4.7</v>
      </c>
      <c r="N191">
        <v>4.5600000000000005</v>
      </c>
    </row>
    <row r="192" spans="1:14">
      <c r="A192" t="s">
        <v>1214</v>
      </c>
      <c r="B192" s="3">
        <v>46190</v>
      </c>
      <c r="C192" t="s">
        <v>26</v>
      </c>
      <c r="D192" t="s">
        <v>16</v>
      </c>
      <c r="E192" t="s">
        <v>106</v>
      </c>
      <c r="F192" t="s">
        <v>18</v>
      </c>
      <c r="G192">
        <v>3</v>
      </c>
      <c r="H192">
        <v>1.89</v>
      </c>
      <c r="I192" t="s">
        <v>19</v>
      </c>
      <c r="J192">
        <v>22</v>
      </c>
      <c r="K192">
        <v>0</v>
      </c>
      <c r="L192">
        <v>8</v>
      </c>
      <c r="M192">
        <v>5.5</v>
      </c>
      <c r="N192">
        <v>5.67</v>
      </c>
    </row>
    <row r="193" spans="1:14">
      <c r="A193" t="s">
        <v>127</v>
      </c>
      <c r="B193" s="3">
        <v>46190</v>
      </c>
      <c r="C193" t="s">
        <v>128</v>
      </c>
      <c r="D193" t="s">
        <v>16</v>
      </c>
      <c r="E193" t="s">
        <v>49</v>
      </c>
      <c r="F193" t="s">
        <v>50</v>
      </c>
      <c r="G193">
        <v>1</v>
      </c>
      <c r="H193">
        <v>3.36</v>
      </c>
      <c r="I193" t="s">
        <v>30</v>
      </c>
      <c r="J193">
        <v>35</v>
      </c>
      <c r="K193">
        <v>0</v>
      </c>
      <c r="L193">
        <v>6</v>
      </c>
      <c r="M193">
        <v>1.8</v>
      </c>
      <c r="N193">
        <v>3.36</v>
      </c>
    </row>
    <row r="194" spans="1:14">
      <c r="A194" t="s">
        <v>1087</v>
      </c>
      <c r="B194" s="3">
        <v>46190</v>
      </c>
      <c r="C194" t="s">
        <v>460</v>
      </c>
      <c r="D194" t="s">
        <v>16</v>
      </c>
      <c r="E194" t="s">
        <v>120</v>
      </c>
      <c r="F194" t="s">
        <v>50</v>
      </c>
      <c r="G194">
        <v>2</v>
      </c>
      <c r="H194">
        <v>2.25</v>
      </c>
      <c r="I194" t="s">
        <v>19</v>
      </c>
      <c r="J194">
        <v>45</v>
      </c>
      <c r="K194">
        <v>0</v>
      </c>
      <c r="L194">
        <v>7</v>
      </c>
      <c r="M194">
        <v>5.9</v>
      </c>
      <c r="N194">
        <v>4.5</v>
      </c>
    </row>
    <row r="195" spans="1:14">
      <c r="A195" t="s">
        <v>219</v>
      </c>
      <c r="B195" s="3">
        <v>46190</v>
      </c>
      <c r="C195" t="s">
        <v>128</v>
      </c>
      <c r="D195" t="s">
        <v>16</v>
      </c>
      <c r="E195" t="s">
        <v>115</v>
      </c>
      <c r="F195" t="s">
        <v>29</v>
      </c>
      <c r="G195">
        <v>1</v>
      </c>
      <c r="H195">
        <v>3.99</v>
      </c>
      <c r="I195" t="s">
        <v>19</v>
      </c>
      <c r="J195">
        <v>32</v>
      </c>
      <c r="K195">
        <v>0</v>
      </c>
      <c r="L195">
        <v>6</v>
      </c>
      <c r="M195">
        <v>2.9</v>
      </c>
      <c r="N195">
        <v>3.99</v>
      </c>
    </row>
    <row r="196" spans="1:14">
      <c r="A196" t="s">
        <v>400</v>
      </c>
      <c r="B196" s="3">
        <v>46190</v>
      </c>
      <c r="C196" t="s">
        <v>401</v>
      </c>
      <c r="D196" t="s">
        <v>16</v>
      </c>
      <c r="E196" t="s">
        <v>46</v>
      </c>
      <c r="F196" t="s">
        <v>24</v>
      </c>
      <c r="G196">
        <v>1</v>
      </c>
      <c r="H196">
        <v>1.52</v>
      </c>
      <c r="I196" t="s">
        <v>30</v>
      </c>
      <c r="J196">
        <v>53</v>
      </c>
      <c r="K196">
        <v>1</v>
      </c>
      <c r="L196">
        <v>4</v>
      </c>
      <c r="M196">
        <v>4.4000000000000004</v>
      </c>
      <c r="N196">
        <v>1.52</v>
      </c>
    </row>
    <row r="197" spans="1:14">
      <c r="A197" t="s">
        <v>434</v>
      </c>
      <c r="B197" s="3">
        <v>46190</v>
      </c>
      <c r="C197" t="s">
        <v>244</v>
      </c>
      <c r="D197" t="s">
        <v>16</v>
      </c>
      <c r="E197" t="s">
        <v>63</v>
      </c>
      <c r="F197" t="s">
        <v>50</v>
      </c>
      <c r="G197">
        <v>1</v>
      </c>
      <c r="H197">
        <v>2.97</v>
      </c>
      <c r="I197" t="s">
        <v>30</v>
      </c>
      <c r="J197">
        <v>46</v>
      </c>
      <c r="K197">
        <v>0</v>
      </c>
      <c r="L197">
        <v>4</v>
      </c>
      <c r="M197">
        <v>3.2</v>
      </c>
      <c r="N197">
        <v>2.97</v>
      </c>
    </row>
    <row r="198" spans="1:14">
      <c r="A198" t="s">
        <v>448</v>
      </c>
      <c r="B198" s="3">
        <v>46190</v>
      </c>
      <c r="C198" t="s">
        <v>59</v>
      </c>
      <c r="D198" t="s">
        <v>16</v>
      </c>
      <c r="E198" t="s">
        <v>120</v>
      </c>
      <c r="F198" t="s">
        <v>50</v>
      </c>
      <c r="G198">
        <v>1</v>
      </c>
      <c r="H198">
        <v>2.25</v>
      </c>
      <c r="I198" t="s">
        <v>19</v>
      </c>
      <c r="J198">
        <v>53</v>
      </c>
      <c r="K198">
        <v>0</v>
      </c>
      <c r="L198">
        <v>6</v>
      </c>
      <c r="M198">
        <v>6.3</v>
      </c>
      <c r="N198">
        <v>2.25</v>
      </c>
    </row>
    <row r="199" spans="1:14">
      <c r="A199" t="s">
        <v>619</v>
      </c>
      <c r="B199" s="3">
        <v>46190</v>
      </c>
      <c r="C199" t="s">
        <v>519</v>
      </c>
      <c r="D199" t="s">
        <v>16</v>
      </c>
      <c r="E199" t="s">
        <v>17</v>
      </c>
      <c r="F199" t="s">
        <v>18</v>
      </c>
      <c r="G199">
        <v>4</v>
      </c>
      <c r="H199">
        <v>1.75</v>
      </c>
      <c r="I199" t="s">
        <v>19</v>
      </c>
      <c r="J199">
        <v>47</v>
      </c>
      <c r="K199">
        <v>0</v>
      </c>
      <c r="L199">
        <v>6</v>
      </c>
      <c r="M199">
        <v>2.9</v>
      </c>
      <c r="N199">
        <v>7</v>
      </c>
    </row>
    <row r="200" spans="1:14">
      <c r="A200" t="s">
        <v>40</v>
      </c>
      <c r="B200" s="3">
        <v>46191</v>
      </c>
      <c r="C200" t="s">
        <v>41</v>
      </c>
      <c r="D200" t="s">
        <v>37</v>
      </c>
      <c r="E200" t="s">
        <v>42</v>
      </c>
      <c r="F200" t="s">
        <v>43</v>
      </c>
      <c r="G200">
        <v>3</v>
      </c>
      <c r="H200">
        <v>1.39</v>
      </c>
      <c r="I200" t="s">
        <v>19</v>
      </c>
      <c r="J200">
        <v>30</v>
      </c>
      <c r="K200">
        <v>0</v>
      </c>
      <c r="L200">
        <v>4</v>
      </c>
      <c r="M200">
        <v>3.5</v>
      </c>
      <c r="N200">
        <v>4.17</v>
      </c>
    </row>
    <row r="201" spans="1:14">
      <c r="A201" t="s">
        <v>1159</v>
      </c>
      <c r="B201" s="3">
        <v>46191</v>
      </c>
      <c r="C201" t="s">
        <v>209</v>
      </c>
      <c r="D201" t="s">
        <v>37</v>
      </c>
      <c r="E201" t="s">
        <v>17</v>
      </c>
      <c r="F201" t="s">
        <v>18</v>
      </c>
      <c r="G201">
        <v>1</v>
      </c>
      <c r="H201">
        <v>1.75</v>
      </c>
      <c r="I201" t="s">
        <v>19</v>
      </c>
      <c r="J201">
        <v>9</v>
      </c>
      <c r="K201">
        <v>0</v>
      </c>
      <c r="L201">
        <v>7</v>
      </c>
      <c r="M201">
        <v>5.4</v>
      </c>
      <c r="N201">
        <v>1.75</v>
      </c>
    </row>
    <row r="202" spans="1:14">
      <c r="A202" t="s">
        <v>993</v>
      </c>
      <c r="B202" s="3">
        <v>46191</v>
      </c>
      <c r="C202" t="s">
        <v>84</v>
      </c>
      <c r="D202" t="s">
        <v>37</v>
      </c>
      <c r="E202" t="s">
        <v>78</v>
      </c>
      <c r="F202" t="s">
        <v>39</v>
      </c>
      <c r="G202">
        <v>1</v>
      </c>
      <c r="H202">
        <v>1.55</v>
      </c>
      <c r="I202" t="s">
        <v>19</v>
      </c>
      <c r="J202">
        <v>56</v>
      </c>
      <c r="K202">
        <v>1</v>
      </c>
      <c r="L202">
        <v>6</v>
      </c>
      <c r="M202">
        <v>2.8</v>
      </c>
      <c r="N202">
        <v>1.55</v>
      </c>
    </row>
    <row r="203" spans="1:14">
      <c r="A203" t="s">
        <v>278</v>
      </c>
      <c r="B203" s="3">
        <v>46191</v>
      </c>
      <c r="C203" t="s">
        <v>204</v>
      </c>
      <c r="D203" t="s">
        <v>37</v>
      </c>
      <c r="E203" t="s">
        <v>120</v>
      </c>
      <c r="F203" t="s">
        <v>50</v>
      </c>
      <c r="G203">
        <v>3</v>
      </c>
      <c r="H203">
        <v>2.25</v>
      </c>
      <c r="I203" t="s">
        <v>19</v>
      </c>
      <c r="J203">
        <v>19</v>
      </c>
      <c r="K203">
        <v>0</v>
      </c>
      <c r="L203">
        <v>4</v>
      </c>
      <c r="M203">
        <v>3.7</v>
      </c>
      <c r="N203">
        <v>6.75</v>
      </c>
    </row>
    <row r="204" spans="1:14">
      <c r="A204" t="s">
        <v>900</v>
      </c>
      <c r="B204" s="3">
        <v>46191</v>
      </c>
      <c r="C204" t="s">
        <v>170</v>
      </c>
      <c r="D204" t="s">
        <v>37</v>
      </c>
      <c r="E204" t="s">
        <v>42</v>
      </c>
      <c r="F204" t="s">
        <v>43</v>
      </c>
      <c r="G204">
        <v>1</v>
      </c>
      <c r="H204">
        <v>1.39</v>
      </c>
      <c r="I204" t="s">
        <v>19</v>
      </c>
      <c r="J204">
        <v>30</v>
      </c>
      <c r="K204">
        <v>0</v>
      </c>
      <c r="L204">
        <v>8</v>
      </c>
      <c r="M204">
        <v>4.8</v>
      </c>
      <c r="N204">
        <v>1.39</v>
      </c>
    </row>
    <row r="205" spans="1:14">
      <c r="A205" t="s">
        <v>894</v>
      </c>
      <c r="B205" s="3">
        <v>46191</v>
      </c>
      <c r="C205" t="s">
        <v>895</v>
      </c>
      <c r="D205" t="s">
        <v>37</v>
      </c>
      <c r="E205" t="s">
        <v>46</v>
      </c>
      <c r="F205" t="s">
        <v>24</v>
      </c>
      <c r="G205">
        <v>2</v>
      </c>
      <c r="H205">
        <v>1.79</v>
      </c>
      <c r="I205" t="s">
        <v>19</v>
      </c>
      <c r="J205">
        <v>54</v>
      </c>
      <c r="K205">
        <v>0</v>
      </c>
      <c r="L205">
        <v>4</v>
      </c>
      <c r="M205">
        <v>3.1</v>
      </c>
      <c r="N205">
        <v>3.58</v>
      </c>
    </row>
    <row r="206" spans="1:14">
      <c r="A206" t="s">
        <v>848</v>
      </c>
      <c r="B206" s="3">
        <v>46191</v>
      </c>
      <c r="C206" t="s">
        <v>62</v>
      </c>
      <c r="D206" t="s">
        <v>37</v>
      </c>
      <c r="E206" t="s">
        <v>120</v>
      </c>
      <c r="F206" t="s">
        <v>50</v>
      </c>
      <c r="G206">
        <v>1</v>
      </c>
      <c r="H206">
        <v>2.25</v>
      </c>
      <c r="I206" t="s">
        <v>19</v>
      </c>
      <c r="J206">
        <v>20</v>
      </c>
      <c r="K206">
        <v>0</v>
      </c>
      <c r="L206">
        <v>9</v>
      </c>
      <c r="M206">
        <v>3.4</v>
      </c>
      <c r="N206">
        <v>2.25</v>
      </c>
    </row>
    <row r="207" spans="1:14">
      <c r="A207" t="s">
        <v>783</v>
      </c>
      <c r="B207" s="3">
        <v>46191</v>
      </c>
      <c r="C207" t="s">
        <v>48</v>
      </c>
      <c r="D207" t="s">
        <v>37</v>
      </c>
      <c r="E207" t="s">
        <v>125</v>
      </c>
      <c r="F207" t="s">
        <v>39</v>
      </c>
      <c r="G207">
        <v>2</v>
      </c>
      <c r="H207">
        <v>1.57</v>
      </c>
      <c r="I207" t="s">
        <v>30</v>
      </c>
      <c r="J207">
        <v>46</v>
      </c>
      <c r="K207">
        <v>0</v>
      </c>
      <c r="L207">
        <v>8</v>
      </c>
      <c r="M207">
        <v>5.2</v>
      </c>
      <c r="N207">
        <v>3.14</v>
      </c>
    </row>
    <row r="208" spans="1:14">
      <c r="A208" t="s">
        <v>734</v>
      </c>
      <c r="B208" s="3">
        <v>46191</v>
      </c>
      <c r="C208" t="s">
        <v>307</v>
      </c>
      <c r="D208" t="s">
        <v>37</v>
      </c>
      <c r="E208" t="s">
        <v>17</v>
      </c>
      <c r="F208" t="s">
        <v>18</v>
      </c>
      <c r="G208">
        <v>4</v>
      </c>
      <c r="H208">
        <v>1.75</v>
      </c>
      <c r="I208" t="s">
        <v>19</v>
      </c>
      <c r="J208">
        <v>54</v>
      </c>
      <c r="K208">
        <v>0</v>
      </c>
      <c r="L208">
        <v>6</v>
      </c>
      <c r="M208">
        <v>4.4000000000000004</v>
      </c>
      <c r="N208">
        <v>7</v>
      </c>
    </row>
    <row r="209" spans="1:14">
      <c r="A209" t="s">
        <v>675</v>
      </c>
      <c r="B209" s="3">
        <v>46191</v>
      </c>
      <c r="C209" t="s">
        <v>508</v>
      </c>
      <c r="D209" t="s">
        <v>37</v>
      </c>
      <c r="E209" t="s">
        <v>63</v>
      </c>
      <c r="F209" t="s">
        <v>50</v>
      </c>
      <c r="G209">
        <v>1</v>
      </c>
      <c r="H209">
        <v>3.49</v>
      </c>
      <c r="I209" t="s">
        <v>19</v>
      </c>
      <c r="J209">
        <v>7</v>
      </c>
      <c r="K209">
        <v>0</v>
      </c>
      <c r="L209">
        <v>7</v>
      </c>
      <c r="M209">
        <v>2.5</v>
      </c>
      <c r="N209">
        <v>3.49</v>
      </c>
    </row>
    <row r="210" spans="1:14">
      <c r="A210" t="s">
        <v>436</v>
      </c>
      <c r="B210" s="3">
        <v>46191</v>
      </c>
      <c r="C210" t="s">
        <v>21</v>
      </c>
      <c r="D210" t="s">
        <v>37</v>
      </c>
      <c r="E210" t="s">
        <v>28</v>
      </c>
      <c r="F210" t="s">
        <v>29</v>
      </c>
      <c r="G210">
        <v>2</v>
      </c>
      <c r="H210">
        <v>2.8</v>
      </c>
      <c r="I210" t="s">
        <v>30</v>
      </c>
      <c r="J210">
        <v>11</v>
      </c>
      <c r="K210">
        <v>0</v>
      </c>
      <c r="L210">
        <v>6</v>
      </c>
      <c r="M210">
        <v>2.1</v>
      </c>
      <c r="N210">
        <v>5.6</v>
      </c>
    </row>
    <row r="211" spans="1:14">
      <c r="A211" t="s">
        <v>450</v>
      </c>
      <c r="B211" s="3">
        <v>46191</v>
      </c>
      <c r="C211" t="s">
        <v>89</v>
      </c>
      <c r="D211" t="s">
        <v>37</v>
      </c>
      <c r="E211" t="s">
        <v>115</v>
      </c>
      <c r="F211" t="s">
        <v>29</v>
      </c>
      <c r="G211">
        <v>3</v>
      </c>
      <c r="H211">
        <v>3.99</v>
      </c>
      <c r="I211" t="s">
        <v>19</v>
      </c>
      <c r="J211">
        <v>58</v>
      </c>
      <c r="K211">
        <v>0</v>
      </c>
      <c r="L211">
        <v>7</v>
      </c>
      <c r="M211">
        <v>2.2000000000000002</v>
      </c>
      <c r="N211">
        <v>11.97</v>
      </c>
    </row>
    <row r="212" spans="1:14">
      <c r="A212" t="s">
        <v>648</v>
      </c>
      <c r="B212" s="3">
        <v>46191</v>
      </c>
      <c r="C212" t="s">
        <v>365</v>
      </c>
      <c r="D212" t="s">
        <v>37</v>
      </c>
      <c r="E212" t="s">
        <v>46</v>
      </c>
      <c r="F212" t="s">
        <v>24</v>
      </c>
      <c r="G212">
        <v>1</v>
      </c>
      <c r="H212">
        <v>1.79</v>
      </c>
      <c r="I212" t="s">
        <v>19</v>
      </c>
      <c r="J212">
        <v>53</v>
      </c>
      <c r="K212">
        <v>0</v>
      </c>
      <c r="L212">
        <v>8</v>
      </c>
      <c r="M212">
        <v>6.3</v>
      </c>
      <c r="N212">
        <v>1.79</v>
      </c>
    </row>
    <row r="213" spans="1:14">
      <c r="A213" t="s">
        <v>481</v>
      </c>
      <c r="B213" s="3">
        <v>46191</v>
      </c>
      <c r="C213" t="s">
        <v>93</v>
      </c>
      <c r="D213" t="s">
        <v>37</v>
      </c>
      <c r="E213" t="s">
        <v>46</v>
      </c>
      <c r="F213" t="s">
        <v>24</v>
      </c>
      <c r="G213">
        <v>2</v>
      </c>
      <c r="H213">
        <v>1.52</v>
      </c>
      <c r="I213" t="s">
        <v>30</v>
      </c>
      <c r="J213">
        <v>36</v>
      </c>
      <c r="K213">
        <v>0</v>
      </c>
      <c r="L213">
        <v>8</v>
      </c>
      <c r="M213">
        <v>5.5</v>
      </c>
      <c r="N213">
        <v>3.04</v>
      </c>
    </row>
    <row r="214" spans="1:14">
      <c r="A214" t="s">
        <v>1212</v>
      </c>
      <c r="B214" s="3">
        <v>46192</v>
      </c>
      <c r="C214" t="s">
        <v>207</v>
      </c>
      <c r="D214" t="s">
        <v>72</v>
      </c>
      <c r="E214" t="s">
        <v>42</v>
      </c>
      <c r="F214" t="s">
        <v>43</v>
      </c>
      <c r="G214">
        <v>1</v>
      </c>
      <c r="H214">
        <v>1.18</v>
      </c>
      <c r="I214" t="s">
        <v>30</v>
      </c>
      <c r="J214">
        <v>25</v>
      </c>
      <c r="K214">
        <v>2</v>
      </c>
      <c r="L214">
        <v>6</v>
      </c>
      <c r="M214">
        <v>2.4</v>
      </c>
      <c r="N214">
        <v>1.18</v>
      </c>
    </row>
    <row r="215" spans="1:14">
      <c r="A215" t="s">
        <v>90</v>
      </c>
      <c r="B215" s="3">
        <v>46192</v>
      </c>
      <c r="C215" t="s">
        <v>91</v>
      </c>
      <c r="D215" t="s">
        <v>72</v>
      </c>
      <c r="E215" t="s">
        <v>34</v>
      </c>
      <c r="F215" t="s">
        <v>24</v>
      </c>
      <c r="G215">
        <v>2</v>
      </c>
      <c r="H215">
        <v>1.27</v>
      </c>
      <c r="I215" t="s">
        <v>30</v>
      </c>
      <c r="J215">
        <v>9</v>
      </c>
      <c r="K215">
        <v>0</v>
      </c>
      <c r="L215">
        <v>7</v>
      </c>
      <c r="M215">
        <v>5.5</v>
      </c>
      <c r="N215">
        <v>2.54</v>
      </c>
    </row>
    <row r="216" spans="1:14">
      <c r="A216" t="s">
        <v>98</v>
      </c>
      <c r="B216" s="3">
        <v>46192</v>
      </c>
      <c r="C216" t="s">
        <v>99</v>
      </c>
      <c r="D216" t="s">
        <v>72</v>
      </c>
      <c r="E216" t="s">
        <v>57</v>
      </c>
      <c r="F216" t="s">
        <v>43</v>
      </c>
      <c r="G216">
        <v>1</v>
      </c>
      <c r="H216">
        <v>1.69</v>
      </c>
      <c r="I216" t="s">
        <v>19</v>
      </c>
      <c r="J216">
        <v>34</v>
      </c>
      <c r="K216">
        <v>0</v>
      </c>
      <c r="L216">
        <v>7</v>
      </c>
      <c r="M216">
        <v>2.4</v>
      </c>
      <c r="N216">
        <v>1.69</v>
      </c>
    </row>
    <row r="217" spans="1:14">
      <c r="A217" t="s">
        <v>1113</v>
      </c>
      <c r="B217" s="3">
        <v>46192</v>
      </c>
      <c r="C217" t="s">
        <v>443</v>
      </c>
      <c r="D217" t="s">
        <v>72</v>
      </c>
      <c r="E217" t="s">
        <v>23</v>
      </c>
      <c r="F217" t="s">
        <v>24</v>
      </c>
      <c r="G217">
        <v>3</v>
      </c>
      <c r="H217">
        <v>0.95</v>
      </c>
      <c r="I217" t="s">
        <v>19</v>
      </c>
      <c r="J217">
        <v>50</v>
      </c>
      <c r="K217">
        <v>1</v>
      </c>
      <c r="L217">
        <v>8</v>
      </c>
      <c r="M217">
        <v>4.2</v>
      </c>
      <c r="N217">
        <v>2.8499999999999996</v>
      </c>
    </row>
    <row r="218" spans="1:14">
      <c r="A218" t="s">
        <v>1059</v>
      </c>
      <c r="B218" s="3">
        <v>46192</v>
      </c>
      <c r="C218" t="s">
        <v>672</v>
      </c>
      <c r="D218" t="s">
        <v>72</v>
      </c>
      <c r="E218" t="s">
        <v>125</v>
      </c>
      <c r="F218" t="s">
        <v>39</v>
      </c>
      <c r="G218">
        <v>1</v>
      </c>
      <c r="H218">
        <v>1.85</v>
      </c>
      <c r="I218" t="s">
        <v>19</v>
      </c>
      <c r="J218">
        <v>52</v>
      </c>
      <c r="K218">
        <v>0</v>
      </c>
      <c r="L218">
        <v>7</v>
      </c>
      <c r="M218">
        <v>1.2</v>
      </c>
      <c r="N218">
        <v>1.85</v>
      </c>
    </row>
    <row r="219" spans="1:14">
      <c r="A219" t="s">
        <v>236</v>
      </c>
      <c r="B219" s="3">
        <v>46192</v>
      </c>
      <c r="C219" t="s">
        <v>215</v>
      </c>
      <c r="D219" t="s">
        <v>72</v>
      </c>
      <c r="E219" t="s">
        <v>120</v>
      </c>
      <c r="F219" t="s">
        <v>50</v>
      </c>
      <c r="G219">
        <v>2</v>
      </c>
      <c r="H219">
        <v>1.91</v>
      </c>
      <c r="I219" t="s">
        <v>30</v>
      </c>
      <c r="J219">
        <v>38</v>
      </c>
      <c r="K219">
        <v>1</v>
      </c>
      <c r="L219">
        <v>6</v>
      </c>
      <c r="M219">
        <v>4.8</v>
      </c>
      <c r="N219">
        <v>3.82</v>
      </c>
    </row>
    <row r="220" spans="1:14">
      <c r="A220" t="s">
        <v>251</v>
      </c>
      <c r="B220" s="3">
        <v>46192</v>
      </c>
      <c r="C220" t="s">
        <v>186</v>
      </c>
      <c r="D220" t="s">
        <v>72</v>
      </c>
      <c r="E220" t="s">
        <v>125</v>
      </c>
      <c r="F220" t="s">
        <v>39</v>
      </c>
      <c r="G220">
        <v>2</v>
      </c>
      <c r="H220">
        <v>1.85</v>
      </c>
      <c r="I220" t="s">
        <v>19</v>
      </c>
      <c r="J220">
        <v>23</v>
      </c>
      <c r="K220">
        <v>0</v>
      </c>
      <c r="L220">
        <v>7</v>
      </c>
      <c r="M220">
        <v>3.9</v>
      </c>
      <c r="N220">
        <v>3.7</v>
      </c>
    </row>
    <row r="221" spans="1:14">
      <c r="A221" t="s">
        <v>259</v>
      </c>
      <c r="B221" s="3">
        <v>46192</v>
      </c>
      <c r="C221" t="s">
        <v>26</v>
      </c>
      <c r="D221" t="s">
        <v>72</v>
      </c>
      <c r="E221" t="s">
        <v>46</v>
      </c>
      <c r="F221" t="s">
        <v>24</v>
      </c>
      <c r="G221">
        <v>2</v>
      </c>
      <c r="H221">
        <v>1.52</v>
      </c>
      <c r="I221" t="s">
        <v>30</v>
      </c>
      <c r="J221">
        <v>19</v>
      </c>
      <c r="K221">
        <v>0</v>
      </c>
      <c r="L221">
        <v>9</v>
      </c>
      <c r="M221">
        <v>4.5999999999999996</v>
      </c>
      <c r="N221">
        <v>3.04</v>
      </c>
    </row>
    <row r="222" spans="1:14">
      <c r="A222" t="s">
        <v>262</v>
      </c>
      <c r="B222" s="3">
        <v>46192</v>
      </c>
      <c r="C222" t="s">
        <v>91</v>
      </c>
      <c r="D222" t="s">
        <v>72</v>
      </c>
      <c r="E222" t="s">
        <v>17</v>
      </c>
      <c r="F222" t="s">
        <v>18</v>
      </c>
      <c r="G222">
        <v>1</v>
      </c>
      <c r="H222">
        <v>1.49</v>
      </c>
      <c r="I222" t="s">
        <v>30</v>
      </c>
      <c r="J222">
        <v>36</v>
      </c>
      <c r="K222">
        <v>0</v>
      </c>
      <c r="L222">
        <v>7</v>
      </c>
      <c r="M222">
        <v>4.4000000000000004</v>
      </c>
      <c r="N222">
        <v>1.49</v>
      </c>
    </row>
    <row r="223" spans="1:14">
      <c r="A223" t="s">
        <v>949</v>
      </c>
      <c r="B223" s="3">
        <v>46192</v>
      </c>
      <c r="C223" t="s">
        <v>137</v>
      </c>
      <c r="D223" t="s">
        <v>72</v>
      </c>
      <c r="E223" t="s">
        <v>120</v>
      </c>
      <c r="F223" t="s">
        <v>50</v>
      </c>
      <c r="G223">
        <v>1</v>
      </c>
      <c r="H223">
        <v>2.25</v>
      </c>
      <c r="I223" t="s">
        <v>19</v>
      </c>
      <c r="J223">
        <v>46</v>
      </c>
      <c r="K223">
        <v>0</v>
      </c>
      <c r="L223">
        <v>6</v>
      </c>
      <c r="M223">
        <v>4.7</v>
      </c>
      <c r="N223">
        <v>2.25</v>
      </c>
    </row>
    <row r="224" spans="1:14">
      <c r="A224" t="s">
        <v>908</v>
      </c>
      <c r="B224" s="3">
        <v>46192</v>
      </c>
      <c r="C224" t="s">
        <v>176</v>
      </c>
      <c r="D224" t="s">
        <v>72</v>
      </c>
      <c r="E224" t="s">
        <v>120</v>
      </c>
      <c r="F224" t="s">
        <v>50</v>
      </c>
      <c r="G224">
        <v>2</v>
      </c>
      <c r="H224">
        <v>2.25</v>
      </c>
      <c r="I224" t="s">
        <v>19</v>
      </c>
      <c r="J224">
        <v>45</v>
      </c>
      <c r="K224">
        <v>0</v>
      </c>
      <c r="L224">
        <v>7</v>
      </c>
      <c r="M224">
        <v>2.6</v>
      </c>
      <c r="N224">
        <v>4.5</v>
      </c>
    </row>
    <row r="225" spans="1:14">
      <c r="A225" t="s">
        <v>802</v>
      </c>
      <c r="B225" s="3">
        <v>46192</v>
      </c>
      <c r="C225" t="s">
        <v>84</v>
      </c>
      <c r="D225" t="s">
        <v>72</v>
      </c>
      <c r="E225" t="s">
        <v>120</v>
      </c>
      <c r="F225" t="s">
        <v>50</v>
      </c>
      <c r="G225">
        <v>2</v>
      </c>
      <c r="H225">
        <v>2.25</v>
      </c>
      <c r="I225" t="s">
        <v>19</v>
      </c>
      <c r="J225">
        <v>25</v>
      </c>
      <c r="K225">
        <v>0</v>
      </c>
      <c r="L225">
        <v>5</v>
      </c>
      <c r="M225">
        <v>4.5</v>
      </c>
      <c r="N225">
        <v>4.5</v>
      </c>
    </row>
    <row r="226" spans="1:14">
      <c r="A226" t="s">
        <v>353</v>
      </c>
      <c r="B226" s="3">
        <v>46192</v>
      </c>
      <c r="C226" t="s">
        <v>318</v>
      </c>
      <c r="D226" t="s">
        <v>72</v>
      </c>
      <c r="E226" t="s">
        <v>49</v>
      </c>
      <c r="F226" t="s">
        <v>50</v>
      </c>
      <c r="G226">
        <v>1</v>
      </c>
      <c r="H226">
        <v>3.95</v>
      </c>
      <c r="I226" t="s">
        <v>19</v>
      </c>
      <c r="J226">
        <v>14</v>
      </c>
      <c r="K226">
        <v>0</v>
      </c>
      <c r="L226">
        <v>7</v>
      </c>
      <c r="M226">
        <v>5.5</v>
      </c>
      <c r="N226">
        <v>3.95</v>
      </c>
    </row>
    <row r="227" spans="1:14">
      <c r="A227" t="s">
        <v>427</v>
      </c>
      <c r="B227" s="3">
        <v>46192</v>
      </c>
      <c r="C227" t="s">
        <v>108</v>
      </c>
      <c r="D227" t="s">
        <v>72</v>
      </c>
      <c r="E227" t="s">
        <v>34</v>
      </c>
      <c r="F227" t="s">
        <v>24</v>
      </c>
      <c r="G227">
        <v>2</v>
      </c>
      <c r="H227">
        <v>1.49</v>
      </c>
      <c r="I227" t="s">
        <v>19</v>
      </c>
      <c r="J227">
        <v>12</v>
      </c>
      <c r="K227">
        <v>0</v>
      </c>
      <c r="L227">
        <v>5</v>
      </c>
      <c r="M227">
        <v>3.6</v>
      </c>
      <c r="N227">
        <v>2.98</v>
      </c>
    </row>
    <row r="228" spans="1:14">
      <c r="A228" t="s">
        <v>456</v>
      </c>
      <c r="B228" s="3">
        <v>46192</v>
      </c>
      <c r="C228" t="s">
        <v>147</v>
      </c>
      <c r="D228" t="s">
        <v>72</v>
      </c>
      <c r="E228" t="s">
        <v>60</v>
      </c>
      <c r="F228" t="s">
        <v>29</v>
      </c>
      <c r="G228">
        <v>1</v>
      </c>
      <c r="H228">
        <v>2.69</v>
      </c>
      <c r="I228" t="s">
        <v>19</v>
      </c>
      <c r="J228">
        <v>24</v>
      </c>
      <c r="K228">
        <v>0</v>
      </c>
      <c r="L228">
        <v>6</v>
      </c>
      <c r="M228">
        <v>1.4</v>
      </c>
      <c r="N228">
        <v>2.69</v>
      </c>
    </row>
    <row r="229" spans="1:14">
      <c r="A229" t="s">
        <v>1158</v>
      </c>
      <c r="B229" s="3">
        <v>46193</v>
      </c>
      <c r="C229" t="s">
        <v>186</v>
      </c>
      <c r="D229" t="s">
        <v>66</v>
      </c>
      <c r="E229" t="s">
        <v>17</v>
      </c>
      <c r="F229" t="s">
        <v>18</v>
      </c>
      <c r="G229">
        <v>1</v>
      </c>
      <c r="H229">
        <v>1.49</v>
      </c>
      <c r="I229" t="s">
        <v>30</v>
      </c>
      <c r="J229">
        <v>38</v>
      </c>
      <c r="K229">
        <v>0</v>
      </c>
      <c r="L229">
        <v>9</v>
      </c>
      <c r="M229">
        <v>4.8</v>
      </c>
      <c r="N229">
        <v>1.49</v>
      </c>
    </row>
    <row r="230" spans="1:14">
      <c r="A230" t="s">
        <v>346</v>
      </c>
      <c r="B230" s="3">
        <v>46193</v>
      </c>
      <c r="C230" t="s">
        <v>347</v>
      </c>
      <c r="D230" t="s">
        <v>66</v>
      </c>
      <c r="E230" t="s">
        <v>120</v>
      </c>
      <c r="F230" t="s">
        <v>50</v>
      </c>
      <c r="G230">
        <v>2</v>
      </c>
      <c r="H230">
        <v>2.25</v>
      </c>
      <c r="I230" t="s">
        <v>19</v>
      </c>
      <c r="J230">
        <v>55</v>
      </c>
      <c r="K230">
        <v>0</v>
      </c>
      <c r="L230">
        <v>6</v>
      </c>
      <c r="M230">
        <v>3.7</v>
      </c>
      <c r="N230">
        <v>4.5</v>
      </c>
    </row>
    <row r="231" spans="1:14">
      <c r="A231" t="s">
        <v>765</v>
      </c>
      <c r="B231" s="3">
        <v>46193</v>
      </c>
      <c r="C231" t="s">
        <v>93</v>
      </c>
      <c r="D231" t="s">
        <v>66</v>
      </c>
      <c r="E231" t="s">
        <v>120</v>
      </c>
      <c r="F231" t="s">
        <v>50</v>
      </c>
      <c r="G231">
        <v>2</v>
      </c>
      <c r="H231">
        <v>2.25</v>
      </c>
      <c r="I231" t="s">
        <v>19</v>
      </c>
      <c r="J231">
        <v>15</v>
      </c>
      <c r="K231">
        <v>0</v>
      </c>
      <c r="L231">
        <v>7</v>
      </c>
      <c r="M231">
        <v>3.6</v>
      </c>
      <c r="N231">
        <v>4.5</v>
      </c>
    </row>
    <row r="232" spans="1:14">
      <c r="A232" t="s">
        <v>423</v>
      </c>
      <c r="B232" s="3">
        <v>46193</v>
      </c>
      <c r="C232" t="s">
        <v>186</v>
      </c>
      <c r="D232" t="s">
        <v>66</v>
      </c>
      <c r="E232" t="s">
        <v>85</v>
      </c>
      <c r="F232" t="s">
        <v>18</v>
      </c>
      <c r="G232">
        <v>2</v>
      </c>
      <c r="H232">
        <v>2.12</v>
      </c>
      <c r="I232" t="s">
        <v>30</v>
      </c>
      <c r="J232">
        <v>56</v>
      </c>
      <c r="K232">
        <v>0</v>
      </c>
      <c r="L232">
        <v>6</v>
      </c>
      <c r="M232">
        <v>4.0999999999999996</v>
      </c>
      <c r="N232">
        <v>4.24</v>
      </c>
    </row>
    <row r="233" spans="1:14">
      <c r="A233" t="s">
        <v>428</v>
      </c>
      <c r="B233" s="3">
        <v>46193</v>
      </c>
      <c r="C233" t="s">
        <v>189</v>
      </c>
      <c r="D233" t="s">
        <v>66</v>
      </c>
      <c r="E233" t="s">
        <v>63</v>
      </c>
      <c r="F233" t="s">
        <v>50</v>
      </c>
      <c r="G233">
        <v>2</v>
      </c>
      <c r="H233">
        <v>3.49</v>
      </c>
      <c r="I233" t="s">
        <v>19</v>
      </c>
      <c r="J233">
        <v>34</v>
      </c>
      <c r="K233">
        <v>0</v>
      </c>
      <c r="L233">
        <v>9</v>
      </c>
      <c r="M233">
        <v>5</v>
      </c>
      <c r="N233">
        <v>6.98</v>
      </c>
    </row>
    <row r="234" spans="1:14">
      <c r="A234" t="s">
        <v>482</v>
      </c>
      <c r="B234" s="3">
        <v>46193</v>
      </c>
      <c r="C234" t="s">
        <v>335</v>
      </c>
      <c r="D234" t="s">
        <v>66</v>
      </c>
      <c r="E234" t="s">
        <v>17</v>
      </c>
      <c r="F234" t="s">
        <v>18</v>
      </c>
      <c r="G234">
        <v>1</v>
      </c>
      <c r="H234">
        <v>1.75</v>
      </c>
      <c r="I234" t="s">
        <v>19</v>
      </c>
      <c r="J234">
        <v>41</v>
      </c>
      <c r="K234">
        <v>0</v>
      </c>
      <c r="L234">
        <v>6</v>
      </c>
      <c r="M234">
        <v>5.0999999999999996</v>
      </c>
      <c r="N234">
        <v>1.75</v>
      </c>
    </row>
    <row r="235" spans="1:14">
      <c r="A235" t="s">
        <v>609</v>
      </c>
      <c r="B235" s="3">
        <v>46193</v>
      </c>
      <c r="C235" t="s">
        <v>300</v>
      </c>
      <c r="D235" t="s">
        <v>66</v>
      </c>
      <c r="E235" t="s">
        <v>46</v>
      </c>
      <c r="F235" t="s">
        <v>24</v>
      </c>
      <c r="G235">
        <v>2</v>
      </c>
      <c r="H235">
        <v>1.52</v>
      </c>
      <c r="I235" t="s">
        <v>30</v>
      </c>
      <c r="J235">
        <v>38</v>
      </c>
      <c r="K235">
        <v>1</v>
      </c>
      <c r="L235">
        <v>6</v>
      </c>
      <c r="M235">
        <v>4.7</v>
      </c>
      <c r="N235">
        <v>3.04</v>
      </c>
    </row>
    <row r="236" spans="1:14">
      <c r="A236" t="s">
        <v>492</v>
      </c>
      <c r="B236" s="3">
        <v>46193</v>
      </c>
      <c r="C236" t="s">
        <v>26</v>
      </c>
      <c r="D236" t="s">
        <v>66</v>
      </c>
      <c r="E236" t="s">
        <v>28</v>
      </c>
      <c r="F236" t="s">
        <v>29</v>
      </c>
      <c r="G236">
        <v>1</v>
      </c>
      <c r="H236">
        <v>3.29</v>
      </c>
      <c r="I236" t="s">
        <v>19</v>
      </c>
      <c r="J236">
        <v>27</v>
      </c>
      <c r="K236">
        <v>0</v>
      </c>
      <c r="L236">
        <v>9</v>
      </c>
      <c r="M236">
        <v>4.8</v>
      </c>
      <c r="N236">
        <v>3.29</v>
      </c>
    </row>
    <row r="237" spans="1:14">
      <c r="A237" t="s">
        <v>545</v>
      </c>
      <c r="B237" s="3">
        <v>46193</v>
      </c>
      <c r="C237" t="s">
        <v>265</v>
      </c>
      <c r="D237" t="s">
        <v>66</v>
      </c>
      <c r="E237" t="s">
        <v>69</v>
      </c>
      <c r="F237" t="s">
        <v>43</v>
      </c>
      <c r="G237">
        <v>1</v>
      </c>
      <c r="H237">
        <v>1.69</v>
      </c>
      <c r="I237" t="s">
        <v>30</v>
      </c>
      <c r="J237">
        <v>54</v>
      </c>
      <c r="K237">
        <v>0</v>
      </c>
      <c r="L237">
        <v>6</v>
      </c>
      <c r="M237">
        <v>2.8</v>
      </c>
      <c r="N237">
        <v>1.69</v>
      </c>
    </row>
    <row r="238" spans="1:14">
      <c r="A238" t="s">
        <v>1183</v>
      </c>
      <c r="B238" s="3">
        <v>46194</v>
      </c>
      <c r="C238" t="s">
        <v>247</v>
      </c>
      <c r="D238" t="s">
        <v>27</v>
      </c>
      <c r="E238" t="s">
        <v>106</v>
      </c>
      <c r="F238" t="s">
        <v>18</v>
      </c>
      <c r="G238">
        <v>1</v>
      </c>
      <c r="H238">
        <v>1.89</v>
      </c>
      <c r="I238" t="s">
        <v>19</v>
      </c>
      <c r="J238">
        <v>21</v>
      </c>
      <c r="K238">
        <v>0</v>
      </c>
      <c r="L238">
        <v>9</v>
      </c>
      <c r="M238">
        <v>3.9</v>
      </c>
      <c r="N238">
        <v>1.89</v>
      </c>
    </row>
    <row r="239" spans="1:14">
      <c r="A239" t="s">
        <v>1160</v>
      </c>
      <c r="B239" s="3">
        <v>46194</v>
      </c>
      <c r="C239" t="s">
        <v>132</v>
      </c>
      <c r="D239" t="s">
        <v>27</v>
      </c>
      <c r="E239" t="s">
        <v>57</v>
      </c>
      <c r="F239" t="s">
        <v>43</v>
      </c>
      <c r="G239">
        <v>2</v>
      </c>
      <c r="H239">
        <v>1.69</v>
      </c>
      <c r="I239" t="s">
        <v>19</v>
      </c>
      <c r="J239">
        <v>4</v>
      </c>
      <c r="K239">
        <v>0</v>
      </c>
      <c r="L239">
        <v>7</v>
      </c>
      <c r="M239">
        <v>4.5999999999999996</v>
      </c>
      <c r="N239">
        <v>3.38</v>
      </c>
    </row>
    <row r="240" spans="1:14">
      <c r="A240" t="s">
        <v>1141</v>
      </c>
      <c r="B240" s="3">
        <v>46194</v>
      </c>
      <c r="C240" t="s">
        <v>247</v>
      </c>
      <c r="D240" t="s">
        <v>27</v>
      </c>
      <c r="E240" t="s">
        <v>42</v>
      </c>
      <c r="F240" t="s">
        <v>43</v>
      </c>
      <c r="G240">
        <v>2</v>
      </c>
      <c r="H240">
        <v>1.18</v>
      </c>
      <c r="I240" t="s">
        <v>30</v>
      </c>
      <c r="J240">
        <v>55</v>
      </c>
      <c r="K240">
        <v>0</v>
      </c>
      <c r="L240">
        <v>8</v>
      </c>
      <c r="M240">
        <v>5.9</v>
      </c>
      <c r="N240">
        <v>2.36</v>
      </c>
    </row>
    <row r="241" spans="1:14">
      <c r="A241" t="s">
        <v>179</v>
      </c>
      <c r="B241" s="3">
        <v>46194</v>
      </c>
      <c r="C241" t="s">
        <v>156</v>
      </c>
      <c r="D241" t="s">
        <v>27</v>
      </c>
      <c r="E241" t="s">
        <v>28</v>
      </c>
      <c r="F241" t="s">
        <v>29</v>
      </c>
      <c r="G241">
        <v>3</v>
      </c>
      <c r="H241">
        <v>3.29</v>
      </c>
      <c r="I241" t="s">
        <v>19</v>
      </c>
      <c r="J241">
        <v>26</v>
      </c>
      <c r="K241">
        <v>0</v>
      </c>
      <c r="L241">
        <v>6</v>
      </c>
      <c r="M241">
        <v>2</v>
      </c>
      <c r="N241">
        <v>9.870000000000001</v>
      </c>
    </row>
    <row r="242" spans="1:14">
      <c r="A242" t="s">
        <v>1046</v>
      </c>
      <c r="B242" s="3">
        <v>46194</v>
      </c>
      <c r="C242" t="s">
        <v>852</v>
      </c>
      <c r="D242" t="s">
        <v>27</v>
      </c>
      <c r="E242" t="s">
        <v>38</v>
      </c>
      <c r="F242" t="s">
        <v>39</v>
      </c>
      <c r="G242">
        <v>1</v>
      </c>
      <c r="H242">
        <v>2.79</v>
      </c>
      <c r="I242" t="s">
        <v>19</v>
      </c>
      <c r="J242">
        <v>32</v>
      </c>
      <c r="K242">
        <v>0</v>
      </c>
      <c r="L242">
        <v>7</v>
      </c>
      <c r="M242">
        <v>2.2000000000000002</v>
      </c>
      <c r="N242">
        <v>2.79</v>
      </c>
    </row>
    <row r="243" spans="1:14">
      <c r="A243" t="s">
        <v>223</v>
      </c>
      <c r="B243" s="3">
        <v>46194</v>
      </c>
      <c r="C243" t="s">
        <v>224</v>
      </c>
      <c r="D243" t="s">
        <v>27</v>
      </c>
      <c r="E243" t="s">
        <v>120</v>
      </c>
      <c r="F243" t="s">
        <v>50</v>
      </c>
      <c r="G243">
        <v>1</v>
      </c>
      <c r="H243">
        <v>2.25</v>
      </c>
      <c r="I243" t="s">
        <v>19</v>
      </c>
      <c r="J243">
        <v>47</v>
      </c>
      <c r="K243">
        <v>0</v>
      </c>
      <c r="L243">
        <v>7</v>
      </c>
      <c r="M243">
        <v>4.4000000000000004</v>
      </c>
      <c r="N243">
        <v>2.25</v>
      </c>
    </row>
    <row r="244" spans="1:14">
      <c r="A244" t="s">
        <v>354</v>
      </c>
      <c r="B244" s="3">
        <v>46194</v>
      </c>
      <c r="C244" t="s">
        <v>355</v>
      </c>
      <c r="D244" t="s">
        <v>27</v>
      </c>
      <c r="E244" t="s">
        <v>34</v>
      </c>
      <c r="F244" t="s">
        <v>24</v>
      </c>
      <c r="G244">
        <v>1</v>
      </c>
      <c r="H244">
        <v>1.49</v>
      </c>
      <c r="I244" t="s">
        <v>19</v>
      </c>
      <c r="J244">
        <v>43</v>
      </c>
      <c r="K244">
        <v>0</v>
      </c>
      <c r="L244">
        <v>6</v>
      </c>
      <c r="M244">
        <v>4.9000000000000004</v>
      </c>
      <c r="N244">
        <v>1.49</v>
      </c>
    </row>
    <row r="245" spans="1:14">
      <c r="A245" t="s">
        <v>729</v>
      </c>
      <c r="B245" s="3">
        <v>46194</v>
      </c>
      <c r="C245" t="s">
        <v>224</v>
      </c>
      <c r="D245" t="s">
        <v>27</v>
      </c>
      <c r="E245" t="s">
        <v>106</v>
      </c>
      <c r="F245" t="s">
        <v>18</v>
      </c>
      <c r="G245">
        <v>1</v>
      </c>
      <c r="H245">
        <v>1.89</v>
      </c>
      <c r="I245" t="s">
        <v>19</v>
      </c>
      <c r="J245">
        <v>51</v>
      </c>
      <c r="K245">
        <v>0</v>
      </c>
      <c r="L245">
        <v>9</v>
      </c>
      <c r="M245">
        <v>4.4000000000000004</v>
      </c>
      <c r="N245">
        <v>1.89</v>
      </c>
    </row>
    <row r="246" spans="1:14">
      <c r="A246" t="s">
        <v>689</v>
      </c>
      <c r="B246" s="3">
        <v>46194</v>
      </c>
      <c r="C246" t="s">
        <v>209</v>
      </c>
      <c r="D246" t="s">
        <v>27</v>
      </c>
      <c r="E246" t="s">
        <v>106</v>
      </c>
      <c r="F246" t="s">
        <v>18</v>
      </c>
      <c r="G246">
        <v>2</v>
      </c>
      <c r="H246">
        <v>1.61</v>
      </c>
      <c r="I246" t="s">
        <v>30</v>
      </c>
      <c r="J246">
        <v>38</v>
      </c>
      <c r="K246">
        <v>0</v>
      </c>
      <c r="L246">
        <v>8</v>
      </c>
      <c r="M246">
        <v>4.4000000000000004</v>
      </c>
      <c r="N246">
        <v>3.22</v>
      </c>
    </row>
    <row r="247" spans="1:14">
      <c r="A247" t="s">
        <v>644</v>
      </c>
      <c r="B247" s="3">
        <v>46194</v>
      </c>
      <c r="C247" t="s">
        <v>272</v>
      </c>
      <c r="D247" t="s">
        <v>27</v>
      </c>
      <c r="E247" t="s">
        <v>63</v>
      </c>
      <c r="F247" t="s">
        <v>50</v>
      </c>
      <c r="G247">
        <v>1</v>
      </c>
      <c r="H247">
        <v>2.97</v>
      </c>
      <c r="I247" t="s">
        <v>30</v>
      </c>
      <c r="J247">
        <v>43</v>
      </c>
      <c r="K247">
        <v>0</v>
      </c>
      <c r="L247">
        <v>8</v>
      </c>
      <c r="M247">
        <v>5.0999999999999996</v>
      </c>
      <c r="N247">
        <v>2.97</v>
      </c>
    </row>
    <row r="248" spans="1:14">
      <c r="A248" t="s">
        <v>175</v>
      </c>
      <c r="B248" s="3">
        <v>46195</v>
      </c>
      <c r="C248" t="s">
        <v>176</v>
      </c>
      <c r="D248" t="s">
        <v>33</v>
      </c>
      <c r="E248" t="s">
        <v>120</v>
      </c>
      <c r="F248" t="s">
        <v>50</v>
      </c>
      <c r="G248">
        <v>2</v>
      </c>
      <c r="H248">
        <v>2.25</v>
      </c>
      <c r="I248" t="s">
        <v>19</v>
      </c>
      <c r="J248">
        <v>31</v>
      </c>
      <c r="K248">
        <v>0</v>
      </c>
      <c r="L248">
        <v>5</v>
      </c>
      <c r="M248">
        <v>4</v>
      </c>
      <c r="N248">
        <v>4.5</v>
      </c>
    </row>
    <row r="249" spans="1:14">
      <c r="A249" t="s">
        <v>1057</v>
      </c>
      <c r="B249" s="3">
        <v>46195</v>
      </c>
      <c r="C249" t="s">
        <v>144</v>
      </c>
      <c r="D249" t="s">
        <v>33</v>
      </c>
      <c r="E249" t="s">
        <v>34</v>
      </c>
      <c r="F249" t="s">
        <v>24</v>
      </c>
      <c r="G249">
        <v>2</v>
      </c>
      <c r="H249">
        <v>1.49</v>
      </c>
      <c r="I249" t="s">
        <v>19</v>
      </c>
      <c r="J249">
        <v>10</v>
      </c>
      <c r="K249">
        <v>0</v>
      </c>
      <c r="L249">
        <v>8</v>
      </c>
      <c r="M249">
        <v>4.7</v>
      </c>
      <c r="N249">
        <v>2.98</v>
      </c>
    </row>
    <row r="250" spans="1:14">
      <c r="A250" t="s">
        <v>1017</v>
      </c>
      <c r="B250" s="3">
        <v>46195</v>
      </c>
      <c r="C250" t="s">
        <v>590</v>
      </c>
      <c r="D250" t="s">
        <v>33</v>
      </c>
      <c r="E250" t="s">
        <v>78</v>
      </c>
      <c r="F250" t="s">
        <v>39</v>
      </c>
      <c r="G250">
        <v>2</v>
      </c>
      <c r="H250">
        <v>1.55</v>
      </c>
      <c r="I250" t="s">
        <v>19</v>
      </c>
      <c r="J250">
        <v>49</v>
      </c>
      <c r="K250">
        <v>0</v>
      </c>
      <c r="L250">
        <v>8</v>
      </c>
      <c r="M250">
        <v>4.4000000000000004</v>
      </c>
      <c r="N250">
        <v>3.1</v>
      </c>
    </row>
    <row r="251" spans="1:14">
      <c r="A251" t="s">
        <v>964</v>
      </c>
      <c r="B251" s="3">
        <v>46195</v>
      </c>
      <c r="C251" t="s">
        <v>202</v>
      </c>
      <c r="D251" t="s">
        <v>33</v>
      </c>
      <c r="E251" t="s">
        <v>63</v>
      </c>
      <c r="F251" t="s">
        <v>50</v>
      </c>
      <c r="G251">
        <v>2</v>
      </c>
      <c r="H251">
        <v>3.49</v>
      </c>
      <c r="I251" t="s">
        <v>19</v>
      </c>
      <c r="J251">
        <v>3</v>
      </c>
      <c r="K251">
        <v>0</v>
      </c>
      <c r="L251">
        <v>7</v>
      </c>
      <c r="M251">
        <v>5.3</v>
      </c>
      <c r="N251">
        <v>6.98</v>
      </c>
    </row>
    <row r="252" spans="1:14">
      <c r="A252" t="s">
        <v>356</v>
      </c>
      <c r="B252" s="3">
        <v>46195</v>
      </c>
      <c r="C252" t="s">
        <v>154</v>
      </c>
      <c r="D252" t="s">
        <v>33</v>
      </c>
      <c r="E252" t="s">
        <v>49</v>
      </c>
      <c r="F252" t="s">
        <v>50</v>
      </c>
      <c r="G252">
        <v>4</v>
      </c>
      <c r="H252">
        <v>3.95</v>
      </c>
      <c r="I252" t="s">
        <v>19</v>
      </c>
      <c r="J252">
        <v>53</v>
      </c>
      <c r="K252">
        <v>1</v>
      </c>
      <c r="L252">
        <v>6</v>
      </c>
      <c r="M252">
        <v>1.9</v>
      </c>
      <c r="N252">
        <v>15.8</v>
      </c>
    </row>
    <row r="253" spans="1:14">
      <c r="A253" t="s">
        <v>542</v>
      </c>
      <c r="B253" s="3">
        <v>46195</v>
      </c>
      <c r="C253" t="s">
        <v>543</v>
      </c>
      <c r="D253" t="s">
        <v>33</v>
      </c>
      <c r="E253" t="s">
        <v>60</v>
      </c>
      <c r="F253" t="s">
        <v>29</v>
      </c>
      <c r="G253">
        <v>2</v>
      </c>
      <c r="H253">
        <v>2.29</v>
      </c>
      <c r="I253" t="s">
        <v>30</v>
      </c>
      <c r="J253">
        <v>10</v>
      </c>
      <c r="K253">
        <v>0</v>
      </c>
      <c r="L253">
        <v>4</v>
      </c>
      <c r="M253">
        <v>3.8</v>
      </c>
      <c r="N253">
        <v>4.58</v>
      </c>
    </row>
    <row r="254" spans="1:14">
      <c r="A254" t="s">
        <v>1215</v>
      </c>
      <c r="B254" s="3">
        <v>46196</v>
      </c>
      <c r="C254" t="s">
        <v>247</v>
      </c>
      <c r="D254" t="s">
        <v>22</v>
      </c>
      <c r="E254" t="s">
        <v>63</v>
      </c>
      <c r="F254" t="s">
        <v>50</v>
      </c>
      <c r="G254">
        <v>1</v>
      </c>
      <c r="H254">
        <v>3.49</v>
      </c>
      <c r="I254" t="s">
        <v>19</v>
      </c>
      <c r="J254">
        <v>18</v>
      </c>
      <c r="K254">
        <v>0</v>
      </c>
      <c r="L254">
        <v>6</v>
      </c>
      <c r="M254">
        <v>3.3</v>
      </c>
      <c r="N254">
        <v>3.49</v>
      </c>
    </row>
    <row r="255" spans="1:14">
      <c r="A255" t="s">
        <v>910</v>
      </c>
      <c r="B255" s="3">
        <v>46196</v>
      </c>
      <c r="C255" t="s">
        <v>335</v>
      </c>
      <c r="D255" t="s">
        <v>22</v>
      </c>
      <c r="E255" t="s">
        <v>38</v>
      </c>
      <c r="F255" t="s">
        <v>39</v>
      </c>
      <c r="G255">
        <v>2</v>
      </c>
      <c r="H255">
        <v>2.79</v>
      </c>
      <c r="I255" t="s">
        <v>19</v>
      </c>
      <c r="J255">
        <v>22</v>
      </c>
      <c r="K255">
        <v>0</v>
      </c>
      <c r="L255">
        <v>8</v>
      </c>
      <c r="M255">
        <v>4.8</v>
      </c>
      <c r="N255">
        <v>5.58</v>
      </c>
    </row>
    <row r="256" spans="1:14">
      <c r="A256" t="s">
        <v>889</v>
      </c>
      <c r="B256" s="3">
        <v>46196</v>
      </c>
      <c r="C256" t="s">
        <v>130</v>
      </c>
      <c r="D256" t="s">
        <v>22</v>
      </c>
      <c r="E256" t="s">
        <v>46</v>
      </c>
      <c r="F256" t="s">
        <v>24</v>
      </c>
      <c r="G256">
        <v>1</v>
      </c>
      <c r="H256">
        <v>1.52</v>
      </c>
      <c r="I256" t="s">
        <v>30</v>
      </c>
      <c r="J256">
        <v>32</v>
      </c>
      <c r="K256">
        <v>1</v>
      </c>
      <c r="L256">
        <v>6</v>
      </c>
      <c r="M256">
        <v>4.7</v>
      </c>
      <c r="N256">
        <v>1.52</v>
      </c>
    </row>
    <row r="257" spans="1:14">
      <c r="A257" t="s">
        <v>849</v>
      </c>
      <c r="B257" s="3">
        <v>46196</v>
      </c>
      <c r="C257" t="s">
        <v>303</v>
      </c>
      <c r="D257" t="s">
        <v>22</v>
      </c>
      <c r="E257" t="s">
        <v>106</v>
      </c>
      <c r="F257" t="s">
        <v>18</v>
      </c>
      <c r="G257">
        <v>1</v>
      </c>
      <c r="H257">
        <v>1.61</v>
      </c>
      <c r="I257" t="s">
        <v>30</v>
      </c>
      <c r="J257">
        <v>30</v>
      </c>
      <c r="K257">
        <v>0</v>
      </c>
      <c r="L257">
        <v>4</v>
      </c>
      <c r="M257">
        <v>4.5999999999999996</v>
      </c>
      <c r="N257">
        <v>1.61</v>
      </c>
    </row>
    <row r="258" spans="1:14">
      <c r="A258" t="s">
        <v>424</v>
      </c>
      <c r="B258" s="3">
        <v>46196</v>
      </c>
      <c r="C258" t="s">
        <v>224</v>
      </c>
      <c r="D258" t="s">
        <v>22</v>
      </c>
      <c r="E258" t="s">
        <v>69</v>
      </c>
      <c r="F258" t="s">
        <v>43</v>
      </c>
      <c r="G258">
        <v>1</v>
      </c>
      <c r="H258">
        <v>1.99</v>
      </c>
      <c r="I258" t="s">
        <v>19</v>
      </c>
      <c r="J258">
        <v>11</v>
      </c>
      <c r="K258">
        <v>0</v>
      </c>
      <c r="L258">
        <v>7</v>
      </c>
      <c r="M258">
        <v>4.9000000000000004</v>
      </c>
      <c r="N258">
        <v>1.99</v>
      </c>
    </row>
    <row r="259" spans="1:14">
      <c r="A259" t="s">
        <v>666</v>
      </c>
      <c r="B259" s="3">
        <v>46196</v>
      </c>
      <c r="C259" t="s">
        <v>325</v>
      </c>
      <c r="D259" t="s">
        <v>22</v>
      </c>
      <c r="E259" t="s">
        <v>49</v>
      </c>
      <c r="F259" t="s">
        <v>50</v>
      </c>
      <c r="G259">
        <v>1</v>
      </c>
      <c r="H259">
        <v>3.95</v>
      </c>
      <c r="I259" t="s">
        <v>19</v>
      </c>
      <c r="J259">
        <v>44</v>
      </c>
      <c r="K259">
        <v>0</v>
      </c>
      <c r="L259">
        <v>4</v>
      </c>
      <c r="M259">
        <v>4.7</v>
      </c>
      <c r="N259">
        <v>3.95</v>
      </c>
    </row>
    <row r="260" spans="1:14">
      <c r="A260" t="s">
        <v>643</v>
      </c>
      <c r="B260" s="3">
        <v>46196</v>
      </c>
      <c r="C260" t="s">
        <v>202</v>
      </c>
      <c r="D260" t="s">
        <v>22</v>
      </c>
      <c r="E260" t="s">
        <v>78</v>
      </c>
      <c r="F260" t="s">
        <v>39</v>
      </c>
      <c r="G260">
        <v>2</v>
      </c>
      <c r="H260">
        <v>1.55</v>
      </c>
      <c r="I260" t="s">
        <v>19</v>
      </c>
      <c r="J260">
        <v>28</v>
      </c>
      <c r="K260">
        <v>0</v>
      </c>
      <c r="L260">
        <v>7</v>
      </c>
      <c r="M260">
        <v>4.0999999999999996</v>
      </c>
      <c r="N260">
        <v>3.1</v>
      </c>
    </row>
    <row r="261" spans="1:14">
      <c r="A261" t="s">
        <v>469</v>
      </c>
      <c r="B261" s="3">
        <v>46196</v>
      </c>
      <c r="C261" t="s">
        <v>443</v>
      </c>
      <c r="D261" t="s">
        <v>22</v>
      </c>
      <c r="E261" t="s">
        <v>38</v>
      </c>
      <c r="F261" t="s">
        <v>39</v>
      </c>
      <c r="G261">
        <v>1</v>
      </c>
      <c r="H261">
        <v>2.79</v>
      </c>
      <c r="I261" t="s">
        <v>19</v>
      </c>
      <c r="J261">
        <v>8</v>
      </c>
      <c r="K261">
        <v>0</v>
      </c>
      <c r="L261">
        <v>7</v>
      </c>
      <c r="M261">
        <v>5.7</v>
      </c>
      <c r="N261">
        <v>2.79</v>
      </c>
    </row>
    <row r="262" spans="1:14">
      <c r="A262" t="s">
        <v>513</v>
      </c>
      <c r="B262" s="3">
        <v>46196</v>
      </c>
      <c r="C262" t="s">
        <v>191</v>
      </c>
      <c r="D262" t="s">
        <v>22</v>
      </c>
      <c r="E262" t="s">
        <v>60</v>
      </c>
      <c r="F262" t="s">
        <v>29</v>
      </c>
      <c r="G262">
        <v>2</v>
      </c>
      <c r="H262">
        <v>2.29</v>
      </c>
      <c r="I262" t="s">
        <v>30</v>
      </c>
      <c r="J262">
        <v>51</v>
      </c>
      <c r="K262">
        <v>0</v>
      </c>
      <c r="L262">
        <v>4</v>
      </c>
      <c r="M262">
        <v>4.0999999999999996</v>
      </c>
      <c r="N262">
        <v>4.58</v>
      </c>
    </row>
    <row r="263" spans="1:14">
      <c r="A263" t="s">
        <v>533</v>
      </c>
      <c r="B263" s="3">
        <v>46196</v>
      </c>
      <c r="C263" t="s">
        <v>147</v>
      </c>
      <c r="D263" t="s">
        <v>22</v>
      </c>
      <c r="E263" t="s">
        <v>42</v>
      </c>
      <c r="F263" t="s">
        <v>43</v>
      </c>
      <c r="G263">
        <v>1</v>
      </c>
      <c r="H263">
        <v>1.18</v>
      </c>
      <c r="I263" t="s">
        <v>30</v>
      </c>
      <c r="J263">
        <v>55</v>
      </c>
      <c r="K263">
        <v>0</v>
      </c>
      <c r="L263">
        <v>6</v>
      </c>
      <c r="M263">
        <v>1.4</v>
      </c>
      <c r="N263">
        <v>1.18</v>
      </c>
    </row>
    <row r="264" spans="1:14">
      <c r="A264" t="s">
        <v>1125</v>
      </c>
      <c r="B264" s="3">
        <v>46197</v>
      </c>
      <c r="C264" t="s">
        <v>54</v>
      </c>
      <c r="D264" t="s">
        <v>16</v>
      </c>
      <c r="E264" t="s">
        <v>42</v>
      </c>
      <c r="F264" t="s">
        <v>43</v>
      </c>
      <c r="G264">
        <v>2</v>
      </c>
      <c r="H264">
        <v>1.39</v>
      </c>
      <c r="I264" t="s">
        <v>19</v>
      </c>
      <c r="J264">
        <v>43</v>
      </c>
      <c r="K264">
        <v>0</v>
      </c>
      <c r="L264">
        <v>5</v>
      </c>
      <c r="M264">
        <v>3.9</v>
      </c>
      <c r="N264">
        <v>2.78</v>
      </c>
    </row>
    <row r="265" spans="1:14">
      <c r="A265" t="s">
        <v>1040</v>
      </c>
      <c r="B265" s="3">
        <v>46197</v>
      </c>
      <c r="C265" t="s">
        <v>117</v>
      </c>
      <c r="D265" t="s">
        <v>16</v>
      </c>
      <c r="E265" t="s">
        <v>106</v>
      </c>
      <c r="F265" t="s">
        <v>18</v>
      </c>
      <c r="G265">
        <v>1</v>
      </c>
      <c r="H265">
        <v>1.89</v>
      </c>
      <c r="I265" t="s">
        <v>19</v>
      </c>
      <c r="J265">
        <v>18</v>
      </c>
      <c r="K265">
        <v>0</v>
      </c>
      <c r="L265">
        <v>9</v>
      </c>
      <c r="M265">
        <v>3.6</v>
      </c>
      <c r="N265">
        <v>1.89</v>
      </c>
    </row>
    <row r="266" spans="1:14">
      <c r="A266" t="s">
        <v>1015</v>
      </c>
      <c r="B266" s="3">
        <v>46197</v>
      </c>
      <c r="C266" t="s">
        <v>852</v>
      </c>
      <c r="D266" t="s">
        <v>16</v>
      </c>
      <c r="E266" t="s">
        <v>28</v>
      </c>
      <c r="F266" t="s">
        <v>29</v>
      </c>
      <c r="G266">
        <v>2</v>
      </c>
      <c r="H266">
        <v>2.8</v>
      </c>
      <c r="I266" t="s">
        <v>30</v>
      </c>
      <c r="J266">
        <v>7</v>
      </c>
      <c r="K266">
        <v>0</v>
      </c>
      <c r="L266">
        <v>7</v>
      </c>
      <c r="M266">
        <v>2.9</v>
      </c>
      <c r="N266">
        <v>5.6</v>
      </c>
    </row>
    <row r="267" spans="1:14">
      <c r="A267" t="s">
        <v>973</v>
      </c>
      <c r="B267" s="3">
        <v>46197</v>
      </c>
      <c r="C267" t="s">
        <v>318</v>
      </c>
      <c r="D267" t="s">
        <v>16</v>
      </c>
      <c r="E267" t="s">
        <v>46</v>
      </c>
      <c r="F267" t="s">
        <v>24</v>
      </c>
      <c r="G267">
        <v>1</v>
      </c>
      <c r="H267">
        <v>1.79</v>
      </c>
      <c r="I267" t="s">
        <v>19</v>
      </c>
      <c r="J267">
        <v>49</v>
      </c>
      <c r="K267">
        <v>0</v>
      </c>
      <c r="L267">
        <v>7</v>
      </c>
      <c r="M267">
        <v>5.4</v>
      </c>
      <c r="N267">
        <v>1.79</v>
      </c>
    </row>
    <row r="268" spans="1:14">
      <c r="A268" t="s">
        <v>858</v>
      </c>
      <c r="B268" s="3">
        <v>46197</v>
      </c>
      <c r="C268" t="s">
        <v>447</v>
      </c>
      <c r="D268" t="s">
        <v>16</v>
      </c>
      <c r="E268" t="s">
        <v>49</v>
      </c>
      <c r="F268" t="s">
        <v>50</v>
      </c>
      <c r="G268">
        <v>2</v>
      </c>
      <c r="H268">
        <v>3.95</v>
      </c>
      <c r="I268" t="s">
        <v>19</v>
      </c>
      <c r="J268">
        <v>16</v>
      </c>
      <c r="K268">
        <v>0</v>
      </c>
      <c r="L268">
        <v>4</v>
      </c>
      <c r="M268">
        <v>3.9</v>
      </c>
      <c r="N268">
        <v>7.9</v>
      </c>
    </row>
    <row r="269" spans="1:14">
      <c r="A269" t="s">
        <v>387</v>
      </c>
      <c r="B269" s="3">
        <v>46197</v>
      </c>
      <c r="C269" t="s">
        <v>388</v>
      </c>
      <c r="D269" t="s">
        <v>16</v>
      </c>
      <c r="E269" t="s">
        <v>34</v>
      </c>
      <c r="F269" t="s">
        <v>24</v>
      </c>
      <c r="G269">
        <v>3</v>
      </c>
      <c r="H269">
        <v>1.27</v>
      </c>
      <c r="I269" t="s">
        <v>30</v>
      </c>
      <c r="J269">
        <v>6</v>
      </c>
      <c r="K269">
        <v>0</v>
      </c>
      <c r="L269">
        <v>8</v>
      </c>
      <c r="M269">
        <v>5.2</v>
      </c>
      <c r="N269">
        <v>3.81</v>
      </c>
    </row>
    <row r="270" spans="1:14">
      <c r="A270" t="s">
        <v>730</v>
      </c>
      <c r="B270" s="3">
        <v>46197</v>
      </c>
      <c r="C270" t="s">
        <v>207</v>
      </c>
      <c r="D270" t="s">
        <v>16</v>
      </c>
      <c r="E270" t="s">
        <v>57</v>
      </c>
      <c r="F270" t="s">
        <v>43</v>
      </c>
      <c r="G270">
        <v>1</v>
      </c>
      <c r="H270">
        <v>1.69</v>
      </c>
      <c r="I270" t="s">
        <v>19</v>
      </c>
      <c r="J270">
        <v>44</v>
      </c>
      <c r="K270">
        <v>0</v>
      </c>
      <c r="L270">
        <v>6</v>
      </c>
      <c r="M270">
        <v>1.5</v>
      </c>
      <c r="N270">
        <v>1.69</v>
      </c>
    </row>
    <row r="271" spans="1:14">
      <c r="A271" t="s">
        <v>687</v>
      </c>
      <c r="B271" s="3">
        <v>46197</v>
      </c>
      <c r="C271" t="s">
        <v>305</v>
      </c>
      <c r="D271" t="s">
        <v>16</v>
      </c>
      <c r="E271" t="s">
        <v>69</v>
      </c>
      <c r="F271" t="s">
        <v>43</v>
      </c>
      <c r="G271">
        <v>1</v>
      </c>
      <c r="H271">
        <v>1.69</v>
      </c>
      <c r="I271" t="s">
        <v>30</v>
      </c>
      <c r="J271">
        <v>12</v>
      </c>
      <c r="K271">
        <v>2</v>
      </c>
      <c r="L271">
        <v>7</v>
      </c>
      <c r="M271">
        <v>4</v>
      </c>
      <c r="N271">
        <v>1.69</v>
      </c>
    </row>
    <row r="272" spans="1:14">
      <c r="A272" t="s">
        <v>511</v>
      </c>
      <c r="B272" s="3">
        <v>46197</v>
      </c>
      <c r="C272" t="s">
        <v>130</v>
      </c>
      <c r="D272" t="s">
        <v>16</v>
      </c>
      <c r="E272" t="s">
        <v>57</v>
      </c>
      <c r="F272" t="s">
        <v>43</v>
      </c>
      <c r="G272">
        <v>1</v>
      </c>
      <c r="H272">
        <v>1.44</v>
      </c>
      <c r="I272" t="s">
        <v>30</v>
      </c>
      <c r="J272">
        <v>40</v>
      </c>
      <c r="K272">
        <v>0</v>
      </c>
      <c r="L272">
        <v>6</v>
      </c>
      <c r="M272">
        <v>5.7</v>
      </c>
      <c r="N272">
        <v>1.44</v>
      </c>
    </row>
    <row r="273" spans="1:14">
      <c r="A273" t="s">
        <v>131</v>
      </c>
      <c r="B273" s="3">
        <v>46198</v>
      </c>
      <c r="C273" t="s">
        <v>132</v>
      </c>
      <c r="D273" t="s">
        <v>37</v>
      </c>
      <c r="E273" t="s">
        <v>23</v>
      </c>
      <c r="F273" t="s">
        <v>24</v>
      </c>
      <c r="G273">
        <v>1</v>
      </c>
      <c r="H273">
        <v>0.95</v>
      </c>
      <c r="I273" t="s">
        <v>19</v>
      </c>
      <c r="J273">
        <v>43</v>
      </c>
      <c r="K273">
        <v>0</v>
      </c>
      <c r="L273">
        <v>6</v>
      </c>
      <c r="M273">
        <v>6.1</v>
      </c>
      <c r="N273">
        <v>0.95</v>
      </c>
    </row>
    <row r="274" spans="1:14">
      <c r="A274" t="s">
        <v>1000</v>
      </c>
      <c r="B274" s="3">
        <v>46198</v>
      </c>
      <c r="C274" t="s">
        <v>202</v>
      </c>
      <c r="D274" t="s">
        <v>37</v>
      </c>
      <c r="E274" t="s">
        <v>34</v>
      </c>
      <c r="F274" t="s">
        <v>24</v>
      </c>
      <c r="G274">
        <v>3</v>
      </c>
      <c r="H274">
        <v>1.27</v>
      </c>
      <c r="I274" t="s">
        <v>30</v>
      </c>
      <c r="J274">
        <v>6</v>
      </c>
      <c r="K274">
        <v>0</v>
      </c>
      <c r="L274">
        <v>6</v>
      </c>
      <c r="M274">
        <v>4.0999999999999996</v>
      </c>
      <c r="N274">
        <v>3.81</v>
      </c>
    </row>
    <row r="275" spans="1:14">
      <c r="A275" t="s">
        <v>938</v>
      </c>
      <c r="B275" s="3">
        <v>46198</v>
      </c>
      <c r="C275" t="s">
        <v>156</v>
      </c>
      <c r="D275" t="s">
        <v>37</v>
      </c>
      <c r="E275" t="s">
        <v>106</v>
      </c>
      <c r="F275" t="s">
        <v>18</v>
      </c>
      <c r="G275">
        <v>2</v>
      </c>
      <c r="H275">
        <v>1.89</v>
      </c>
      <c r="I275" t="s">
        <v>19</v>
      </c>
      <c r="J275">
        <v>27</v>
      </c>
      <c r="K275">
        <v>0</v>
      </c>
      <c r="L275">
        <v>5</v>
      </c>
      <c r="M275">
        <v>4.4000000000000004</v>
      </c>
      <c r="N275">
        <v>3.78</v>
      </c>
    </row>
    <row r="276" spans="1:14">
      <c r="A276" t="s">
        <v>931</v>
      </c>
      <c r="B276" s="3">
        <v>46198</v>
      </c>
      <c r="C276" t="s">
        <v>26</v>
      </c>
      <c r="D276" t="s">
        <v>37</v>
      </c>
      <c r="E276" t="s">
        <v>69</v>
      </c>
      <c r="F276" t="s">
        <v>43</v>
      </c>
      <c r="G276">
        <v>1</v>
      </c>
      <c r="H276">
        <v>1.99</v>
      </c>
      <c r="I276" t="s">
        <v>19</v>
      </c>
      <c r="J276">
        <v>21</v>
      </c>
      <c r="K276">
        <v>0</v>
      </c>
      <c r="L276">
        <v>8</v>
      </c>
      <c r="M276">
        <v>5.2</v>
      </c>
      <c r="N276">
        <v>1.99</v>
      </c>
    </row>
    <row r="277" spans="1:14">
      <c r="A277" t="s">
        <v>870</v>
      </c>
      <c r="B277" s="3">
        <v>46198</v>
      </c>
      <c r="C277" t="s">
        <v>215</v>
      </c>
      <c r="D277" t="s">
        <v>37</v>
      </c>
      <c r="E277" t="s">
        <v>78</v>
      </c>
      <c r="F277" t="s">
        <v>39</v>
      </c>
      <c r="G277">
        <v>2</v>
      </c>
      <c r="H277">
        <v>1.32</v>
      </c>
      <c r="I277" t="s">
        <v>30</v>
      </c>
      <c r="J277">
        <v>42</v>
      </c>
      <c r="K277">
        <v>0</v>
      </c>
      <c r="L277">
        <v>8</v>
      </c>
      <c r="M277">
        <v>3.7</v>
      </c>
      <c r="N277">
        <v>2.64</v>
      </c>
    </row>
    <row r="278" spans="1:14">
      <c r="A278" t="s">
        <v>853</v>
      </c>
      <c r="B278" s="3">
        <v>46198</v>
      </c>
      <c r="C278" t="s">
        <v>458</v>
      </c>
      <c r="D278" t="s">
        <v>37</v>
      </c>
      <c r="E278" t="s">
        <v>106</v>
      </c>
      <c r="F278" t="s">
        <v>18</v>
      </c>
      <c r="G278">
        <v>1</v>
      </c>
      <c r="H278">
        <v>1.89</v>
      </c>
      <c r="I278" t="s">
        <v>19</v>
      </c>
      <c r="J278">
        <v>22</v>
      </c>
      <c r="K278">
        <v>0</v>
      </c>
      <c r="L278">
        <v>6</v>
      </c>
      <c r="M278">
        <v>4.4000000000000004</v>
      </c>
      <c r="N278">
        <v>1.89</v>
      </c>
    </row>
    <row r="279" spans="1:14">
      <c r="A279" t="s">
        <v>333</v>
      </c>
      <c r="B279" s="3">
        <v>46198</v>
      </c>
      <c r="C279" t="s">
        <v>59</v>
      </c>
      <c r="D279" t="s">
        <v>37</v>
      </c>
      <c r="E279" t="s">
        <v>115</v>
      </c>
      <c r="F279" t="s">
        <v>29</v>
      </c>
      <c r="G279">
        <v>2</v>
      </c>
      <c r="H279">
        <v>3.39</v>
      </c>
      <c r="I279" t="s">
        <v>30</v>
      </c>
      <c r="J279">
        <v>7</v>
      </c>
      <c r="K279">
        <v>0</v>
      </c>
      <c r="L279">
        <v>7</v>
      </c>
      <c r="M279">
        <v>3.1</v>
      </c>
      <c r="N279">
        <v>6.78</v>
      </c>
    </row>
    <row r="280" spans="1:14">
      <c r="A280" t="s">
        <v>808</v>
      </c>
      <c r="B280" s="3">
        <v>46198</v>
      </c>
      <c r="C280" t="s">
        <v>362</v>
      </c>
      <c r="D280" t="s">
        <v>37</v>
      </c>
      <c r="E280" t="s">
        <v>17</v>
      </c>
      <c r="F280" t="s">
        <v>18</v>
      </c>
      <c r="G280">
        <v>4</v>
      </c>
      <c r="H280">
        <v>1.75</v>
      </c>
      <c r="I280" t="s">
        <v>19</v>
      </c>
      <c r="J280">
        <v>41</v>
      </c>
      <c r="K280">
        <v>0</v>
      </c>
      <c r="L280">
        <v>6</v>
      </c>
      <c r="M280">
        <v>5</v>
      </c>
      <c r="N280">
        <v>7</v>
      </c>
    </row>
    <row r="281" spans="1:14">
      <c r="A281" t="s">
        <v>791</v>
      </c>
      <c r="B281" s="3">
        <v>46198</v>
      </c>
      <c r="C281" t="s">
        <v>150</v>
      </c>
      <c r="D281" t="s">
        <v>37</v>
      </c>
      <c r="E281" t="s">
        <v>63</v>
      </c>
      <c r="F281" t="s">
        <v>50</v>
      </c>
      <c r="G281">
        <v>4</v>
      </c>
      <c r="H281">
        <v>3.49</v>
      </c>
      <c r="I281" t="s">
        <v>19</v>
      </c>
      <c r="J281">
        <v>50</v>
      </c>
      <c r="K281">
        <v>0</v>
      </c>
      <c r="L281">
        <v>5</v>
      </c>
      <c r="M281">
        <v>2.7</v>
      </c>
      <c r="N281">
        <v>13.96</v>
      </c>
    </row>
    <row r="282" spans="1:14">
      <c r="A282" t="s">
        <v>756</v>
      </c>
      <c r="B282" s="3">
        <v>46198</v>
      </c>
      <c r="C282" t="s">
        <v>672</v>
      </c>
      <c r="D282" t="s">
        <v>37</v>
      </c>
      <c r="E282" t="s">
        <v>120</v>
      </c>
      <c r="F282" t="s">
        <v>50</v>
      </c>
      <c r="G282">
        <v>1</v>
      </c>
      <c r="H282">
        <v>2.25</v>
      </c>
      <c r="I282" t="s">
        <v>19</v>
      </c>
      <c r="J282">
        <v>46</v>
      </c>
      <c r="K282">
        <v>0</v>
      </c>
      <c r="L282">
        <v>6</v>
      </c>
      <c r="M282">
        <v>2.9</v>
      </c>
      <c r="N282">
        <v>2.25</v>
      </c>
    </row>
    <row r="283" spans="1:14">
      <c r="A283" t="s">
        <v>429</v>
      </c>
      <c r="B283" s="3">
        <v>46198</v>
      </c>
      <c r="C283" t="s">
        <v>147</v>
      </c>
      <c r="D283" t="s">
        <v>37</v>
      </c>
      <c r="E283" t="s">
        <v>46</v>
      </c>
      <c r="F283" t="s">
        <v>24</v>
      </c>
      <c r="G283">
        <v>1</v>
      </c>
      <c r="H283">
        <v>1.79</v>
      </c>
      <c r="I283" t="s">
        <v>19</v>
      </c>
      <c r="J283">
        <v>35</v>
      </c>
      <c r="K283">
        <v>0</v>
      </c>
      <c r="L283">
        <v>4</v>
      </c>
      <c r="M283">
        <v>4</v>
      </c>
      <c r="N283">
        <v>1.79</v>
      </c>
    </row>
    <row r="284" spans="1:14">
      <c r="A284" t="s">
        <v>550</v>
      </c>
      <c r="B284" s="3">
        <v>46198</v>
      </c>
      <c r="C284" t="s">
        <v>292</v>
      </c>
      <c r="D284" t="s">
        <v>37</v>
      </c>
      <c r="E284" t="s">
        <v>23</v>
      </c>
      <c r="F284" t="s">
        <v>24</v>
      </c>
      <c r="G284">
        <v>2</v>
      </c>
      <c r="H284">
        <v>0.81</v>
      </c>
      <c r="I284" t="s">
        <v>30</v>
      </c>
      <c r="J284">
        <v>46</v>
      </c>
      <c r="K284">
        <v>1</v>
      </c>
      <c r="L284">
        <v>6</v>
      </c>
      <c r="M284">
        <v>1.3</v>
      </c>
      <c r="N284">
        <v>1.62</v>
      </c>
    </row>
    <row r="285" spans="1:14">
      <c r="A285" t="s">
        <v>174</v>
      </c>
      <c r="B285" s="3">
        <v>46199</v>
      </c>
      <c r="C285" t="s">
        <v>15</v>
      </c>
      <c r="D285" t="s">
        <v>72</v>
      </c>
      <c r="E285" t="s">
        <v>115</v>
      </c>
      <c r="F285" t="s">
        <v>29</v>
      </c>
      <c r="G285">
        <v>2</v>
      </c>
      <c r="H285">
        <v>3.39</v>
      </c>
      <c r="I285" t="s">
        <v>30</v>
      </c>
      <c r="J285">
        <v>12</v>
      </c>
      <c r="K285">
        <v>0</v>
      </c>
      <c r="L285">
        <v>7</v>
      </c>
      <c r="M285">
        <v>2.2000000000000002</v>
      </c>
      <c r="N285">
        <v>6.78</v>
      </c>
    </row>
    <row r="286" spans="1:14">
      <c r="A286" t="s">
        <v>946</v>
      </c>
      <c r="B286" s="3">
        <v>46199</v>
      </c>
      <c r="C286" t="s">
        <v>897</v>
      </c>
      <c r="D286" t="s">
        <v>72</v>
      </c>
      <c r="E286" t="s">
        <v>23</v>
      </c>
      <c r="F286" t="s">
        <v>24</v>
      </c>
      <c r="G286">
        <v>3</v>
      </c>
      <c r="H286">
        <v>0.95</v>
      </c>
      <c r="I286" t="s">
        <v>19</v>
      </c>
      <c r="J286">
        <v>48</v>
      </c>
      <c r="K286">
        <v>2</v>
      </c>
      <c r="L286">
        <v>7</v>
      </c>
      <c r="M286">
        <v>2.4</v>
      </c>
      <c r="N286">
        <v>2.8499999999999996</v>
      </c>
    </row>
    <row r="287" spans="1:14">
      <c r="A287" t="s">
        <v>850</v>
      </c>
      <c r="B287" s="3">
        <v>46199</v>
      </c>
      <c r="C287" t="s">
        <v>101</v>
      </c>
      <c r="D287" t="s">
        <v>72</v>
      </c>
      <c r="E287" t="s">
        <v>46</v>
      </c>
      <c r="F287" t="s">
        <v>24</v>
      </c>
      <c r="G287">
        <v>2</v>
      </c>
      <c r="H287">
        <v>1.52</v>
      </c>
      <c r="I287" t="s">
        <v>30</v>
      </c>
      <c r="J287">
        <v>55</v>
      </c>
      <c r="K287">
        <v>0</v>
      </c>
      <c r="L287">
        <v>5</v>
      </c>
      <c r="M287">
        <v>2.9</v>
      </c>
      <c r="N287">
        <v>3.04</v>
      </c>
    </row>
    <row r="288" spans="1:14">
      <c r="A288" t="s">
        <v>779</v>
      </c>
      <c r="B288" s="3">
        <v>46199</v>
      </c>
      <c r="C288" t="s">
        <v>15</v>
      </c>
      <c r="D288" t="s">
        <v>72</v>
      </c>
      <c r="E288" t="s">
        <v>115</v>
      </c>
      <c r="F288" t="s">
        <v>29</v>
      </c>
      <c r="G288">
        <v>1</v>
      </c>
      <c r="H288">
        <v>3.39</v>
      </c>
      <c r="I288" t="s">
        <v>30</v>
      </c>
      <c r="J288">
        <v>6</v>
      </c>
      <c r="K288">
        <v>0</v>
      </c>
      <c r="L288">
        <v>6</v>
      </c>
      <c r="M288">
        <v>1.2</v>
      </c>
      <c r="N288">
        <v>3.39</v>
      </c>
    </row>
    <row r="289" spans="1:14">
      <c r="A289" t="s">
        <v>385</v>
      </c>
      <c r="B289" s="3">
        <v>46199</v>
      </c>
      <c r="C289" t="s">
        <v>108</v>
      </c>
      <c r="D289" t="s">
        <v>72</v>
      </c>
      <c r="E289" t="s">
        <v>63</v>
      </c>
      <c r="F289" t="s">
        <v>50</v>
      </c>
      <c r="G289">
        <v>1</v>
      </c>
      <c r="H289">
        <v>3.49</v>
      </c>
      <c r="I289" t="s">
        <v>19</v>
      </c>
      <c r="J289">
        <v>19</v>
      </c>
      <c r="K289">
        <v>0</v>
      </c>
      <c r="L289">
        <v>4</v>
      </c>
      <c r="M289">
        <v>4.0999999999999996</v>
      </c>
      <c r="N289">
        <v>3.49</v>
      </c>
    </row>
    <row r="290" spans="1:14">
      <c r="A290" t="s">
        <v>476</v>
      </c>
      <c r="B290" s="3">
        <v>46199</v>
      </c>
      <c r="C290" t="s">
        <v>300</v>
      </c>
      <c r="D290" t="s">
        <v>72</v>
      </c>
      <c r="E290" t="s">
        <v>120</v>
      </c>
      <c r="F290" t="s">
        <v>50</v>
      </c>
      <c r="G290">
        <v>1</v>
      </c>
      <c r="H290">
        <v>2.25</v>
      </c>
      <c r="I290" t="s">
        <v>19</v>
      </c>
      <c r="J290">
        <v>39</v>
      </c>
      <c r="K290">
        <v>0</v>
      </c>
      <c r="L290">
        <v>7</v>
      </c>
      <c r="M290">
        <v>4.9000000000000004</v>
      </c>
      <c r="N290">
        <v>2.25</v>
      </c>
    </row>
    <row r="291" spans="1:14">
      <c r="A291" t="s">
        <v>576</v>
      </c>
      <c r="B291" s="3">
        <v>46199</v>
      </c>
      <c r="C291" t="s">
        <v>89</v>
      </c>
      <c r="D291" t="s">
        <v>72</v>
      </c>
      <c r="E291" t="s">
        <v>38</v>
      </c>
      <c r="F291" t="s">
        <v>39</v>
      </c>
      <c r="G291">
        <v>2</v>
      </c>
      <c r="H291">
        <v>2.37</v>
      </c>
      <c r="I291" t="s">
        <v>30</v>
      </c>
      <c r="J291">
        <v>34</v>
      </c>
      <c r="K291">
        <v>0</v>
      </c>
      <c r="L291">
        <v>6</v>
      </c>
      <c r="M291">
        <v>3</v>
      </c>
      <c r="N291">
        <v>4.74</v>
      </c>
    </row>
    <row r="292" spans="1:14">
      <c r="A292" t="s">
        <v>569</v>
      </c>
      <c r="B292" s="3">
        <v>46199</v>
      </c>
      <c r="C292" t="s">
        <v>258</v>
      </c>
      <c r="D292" t="s">
        <v>72</v>
      </c>
      <c r="E292" t="s">
        <v>63</v>
      </c>
      <c r="F292" t="s">
        <v>50</v>
      </c>
      <c r="G292">
        <v>4</v>
      </c>
      <c r="H292">
        <v>3.49</v>
      </c>
      <c r="I292" t="s">
        <v>19</v>
      </c>
      <c r="J292">
        <v>57</v>
      </c>
      <c r="K292">
        <v>0</v>
      </c>
      <c r="L292">
        <v>7</v>
      </c>
      <c r="M292">
        <v>2.9</v>
      </c>
      <c r="N292">
        <v>13.96</v>
      </c>
    </row>
    <row r="293" spans="1:14">
      <c r="A293" t="s">
        <v>540</v>
      </c>
      <c r="B293" s="3">
        <v>46199</v>
      </c>
      <c r="C293" t="s">
        <v>345</v>
      </c>
      <c r="D293" t="s">
        <v>72</v>
      </c>
      <c r="E293" t="s">
        <v>17</v>
      </c>
      <c r="F293" t="s">
        <v>18</v>
      </c>
      <c r="G293">
        <v>1</v>
      </c>
      <c r="H293">
        <v>1.75</v>
      </c>
      <c r="I293" t="s">
        <v>19</v>
      </c>
      <c r="J293">
        <v>10</v>
      </c>
      <c r="K293">
        <v>0</v>
      </c>
      <c r="L293">
        <v>8</v>
      </c>
      <c r="M293">
        <v>4.5</v>
      </c>
      <c r="N293">
        <v>1.75</v>
      </c>
    </row>
    <row r="294" spans="1:14">
      <c r="A294" t="s">
        <v>524</v>
      </c>
      <c r="B294" s="3">
        <v>46199</v>
      </c>
      <c r="C294" t="s">
        <v>95</v>
      </c>
      <c r="D294" t="s">
        <v>72</v>
      </c>
      <c r="E294" t="s">
        <v>85</v>
      </c>
      <c r="F294" t="s">
        <v>18</v>
      </c>
      <c r="G294">
        <v>1</v>
      </c>
      <c r="H294">
        <v>2.4900000000000002</v>
      </c>
      <c r="I294" t="s">
        <v>19</v>
      </c>
      <c r="J294">
        <v>29</v>
      </c>
      <c r="K294">
        <v>0</v>
      </c>
      <c r="L294">
        <v>4</v>
      </c>
      <c r="M294">
        <v>4.4000000000000004</v>
      </c>
      <c r="N294">
        <v>2.4900000000000002</v>
      </c>
    </row>
    <row r="295" spans="1:14">
      <c r="A295" t="s">
        <v>107</v>
      </c>
      <c r="B295" s="3">
        <v>46200</v>
      </c>
      <c r="C295" t="s">
        <v>108</v>
      </c>
      <c r="D295" t="s">
        <v>66</v>
      </c>
      <c r="E295" t="s">
        <v>78</v>
      </c>
      <c r="F295" t="s">
        <v>39</v>
      </c>
      <c r="G295">
        <v>2</v>
      </c>
      <c r="H295">
        <v>1.55</v>
      </c>
      <c r="I295" t="s">
        <v>19</v>
      </c>
      <c r="J295">
        <v>11</v>
      </c>
      <c r="K295">
        <v>0</v>
      </c>
      <c r="L295">
        <v>5</v>
      </c>
      <c r="M295">
        <v>3.9</v>
      </c>
      <c r="N295">
        <v>3.1</v>
      </c>
    </row>
    <row r="296" spans="1:14">
      <c r="A296" t="s">
        <v>1128</v>
      </c>
      <c r="B296" s="3">
        <v>46200</v>
      </c>
      <c r="C296" t="s">
        <v>108</v>
      </c>
      <c r="D296" t="s">
        <v>66</v>
      </c>
      <c r="E296" t="s">
        <v>46</v>
      </c>
      <c r="F296" t="s">
        <v>24</v>
      </c>
      <c r="G296">
        <v>1</v>
      </c>
      <c r="H296">
        <v>1.79</v>
      </c>
      <c r="I296" t="s">
        <v>19</v>
      </c>
      <c r="J296">
        <v>39</v>
      </c>
      <c r="K296">
        <v>0</v>
      </c>
      <c r="L296">
        <v>7</v>
      </c>
      <c r="M296">
        <v>2.9</v>
      </c>
      <c r="N296">
        <v>1.79</v>
      </c>
    </row>
    <row r="297" spans="1:14">
      <c r="A297" t="s">
        <v>145</v>
      </c>
      <c r="B297" s="3">
        <v>46200</v>
      </c>
      <c r="C297" t="s">
        <v>130</v>
      </c>
      <c r="D297" t="s">
        <v>66</v>
      </c>
      <c r="E297" t="s">
        <v>60</v>
      </c>
      <c r="F297" t="s">
        <v>29</v>
      </c>
      <c r="G297">
        <v>2</v>
      </c>
      <c r="H297">
        <v>2.69</v>
      </c>
      <c r="I297" t="s">
        <v>19</v>
      </c>
      <c r="J297">
        <v>9</v>
      </c>
      <c r="K297">
        <v>0</v>
      </c>
      <c r="L297">
        <v>8</v>
      </c>
      <c r="M297">
        <v>4.2</v>
      </c>
      <c r="N297">
        <v>5.38</v>
      </c>
    </row>
    <row r="298" spans="1:14">
      <c r="A298" t="s">
        <v>190</v>
      </c>
      <c r="B298" s="3">
        <v>46200</v>
      </c>
      <c r="C298" t="s">
        <v>191</v>
      </c>
      <c r="D298" t="s">
        <v>66</v>
      </c>
      <c r="E298" t="s">
        <v>28</v>
      </c>
      <c r="F298" t="s">
        <v>29</v>
      </c>
      <c r="G298">
        <v>2</v>
      </c>
      <c r="H298">
        <v>3.29</v>
      </c>
      <c r="I298" t="s">
        <v>19</v>
      </c>
      <c r="J298">
        <v>11</v>
      </c>
      <c r="K298">
        <v>0</v>
      </c>
      <c r="L298">
        <v>6</v>
      </c>
      <c r="M298">
        <v>2.2999999999999998</v>
      </c>
      <c r="N298">
        <v>6.58</v>
      </c>
    </row>
    <row r="299" spans="1:14">
      <c r="A299" t="s">
        <v>1056</v>
      </c>
      <c r="B299" s="3">
        <v>46200</v>
      </c>
      <c r="C299" t="s">
        <v>318</v>
      </c>
      <c r="D299" t="s">
        <v>66</v>
      </c>
      <c r="E299" t="s">
        <v>42</v>
      </c>
      <c r="F299" t="s">
        <v>43</v>
      </c>
      <c r="G299">
        <v>2</v>
      </c>
      <c r="H299">
        <v>1.39</v>
      </c>
      <c r="I299" t="s">
        <v>19</v>
      </c>
      <c r="J299">
        <v>39</v>
      </c>
      <c r="K299">
        <v>1</v>
      </c>
      <c r="L299">
        <v>7</v>
      </c>
      <c r="M299">
        <v>4.2</v>
      </c>
      <c r="N299">
        <v>2.78</v>
      </c>
    </row>
    <row r="300" spans="1:14">
      <c r="A300" t="s">
        <v>1041</v>
      </c>
      <c r="B300" s="3">
        <v>46200</v>
      </c>
      <c r="C300" t="s">
        <v>763</v>
      </c>
      <c r="D300" t="s">
        <v>66</v>
      </c>
      <c r="E300" t="s">
        <v>115</v>
      </c>
      <c r="F300" t="s">
        <v>29</v>
      </c>
      <c r="G300">
        <v>1</v>
      </c>
      <c r="H300">
        <v>3.99</v>
      </c>
      <c r="I300" t="s">
        <v>19</v>
      </c>
      <c r="J300">
        <v>16</v>
      </c>
      <c r="K300">
        <v>0</v>
      </c>
      <c r="L300">
        <v>6</v>
      </c>
      <c r="M300">
        <v>3</v>
      </c>
      <c r="N300">
        <v>3.99</v>
      </c>
    </row>
    <row r="301" spans="1:14">
      <c r="A301" t="s">
        <v>216</v>
      </c>
      <c r="B301" s="3">
        <v>46200</v>
      </c>
      <c r="C301" t="s">
        <v>124</v>
      </c>
      <c r="D301" t="s">
        <v>66</v>
      </c>
      <c r="E301" t="s">
        <v>125</v>
      </c>
      <c r="F301" t="s">
        <v>39</v>
      </c>
      <c r="G301">
        <v>1</v>
      </c>
      <c r="H301">
        <v>1.85</v>
      </c>
      <c r="I301" t="s">
        <v>19</v>
      </c>
      <c r="J301">
        <v>11</v>
      </c>
      <c r="K301">
        <v>0</v>
      </c>
      <c r="L301">
        <v>6</v>
      </c>
      <c r="M301">
        <v>4.2</v>
      </c>
      <c r="N301">
        <v>1.85</v>
      </c>
    </row>
    <row r="302" spans="1:14">
      <c r="A302" t="s">
        <v>998</v>
      </c>
      <c r="B302" s="3">
        <v>46200</v>
      </c>
      <c r="C302" t="s">
        <v>122</v>
      </c>
      <c r="D302" t="s">
        <v>66</v>
      </c>
      <c r="E302" t="s">
        <v>125</v>
      </c>
      <c r="F302" t="s">
        <v>39</v>
      </c>
      <c r="G302">
        <v>1</v>
      </c>
      <c r="H302">
        <v>1.85</v>
      </c>
      <c r="I302" t="s">
        <v>19</v>
      </c>
      <c r="J302">
        <v>12</v>
      </c>
      <c r="K302">
        <v>0</v>
      </c>
      <c r="L302">
        <v>9</v>
      </c>
      <c r="M302">
        <v>4.9000000000000004</v>
      </c>
      <c r="N302">
        <v>1.85</v>
      </c>
    </row>
    <row r="303" spans="1:14">
      <c r="A303" t="s">
        <v>987</v>
      </c>
      <c r="B303" s="3">
        <v>46200</v>
      </c>
      <c r="C303" t="s">
        <v>154</v>
      </c>
      <c r="D303" t="s">
        <v>66</v>
      </c>
      <c r="E303" t="s">
        <v>106</v>
      </c>
      <c r="F303" t="s">
        <v>18</v>
      </c>
      <c r="G303">
        <v>1</v>
      </c>
      <c r="H303">
        <v>1.89</v>
      </c>
      <c r="I303" t="s">
        <v>19</v>
      </c>
      <c r="J303">
        <v>37</v>
      </c>
      <c r="K303">
        <v>0</v>
      </c>
      <c r="L303">
        <v>7</v>
      </c>
      <c r="M303">
        <v>1.8</v>
      </c>
      <c r="N303">
        <v>1.89</v>
      </c>
    </row>
    <row r="304" spans="1:14">
      <c r="A304" t="s">
        <v>915</v>
      </c>
      <c r="B304" s="3">
        <v>46200</v>
      </c>
      <c r="C304" t="s">
        <v>168</v>
      </c>
      <c r="D304" t="s">
        <v>66</v>
      </c>
      <c r="E304" t="s">
        <v>78</v>
      </c>
      <c r="F304" t="s">
        <v>39</v>
      </c>
      <c r="G304">
        <v>2</v>
      </c>
      <c r="H304">
        <v>1.32</v>
      </c>
      <c r="I304" t="s">
        <v>30</v>
      </c>
      <c r="J304">
        <v>17</v>
      </c>
      <c r="K304">
        <v>0</v>
      </c>
      <c r="L304">
        <v>7</v>
      </c>
      <c r="M304">
        <v>4.4000000000000004</v>
      </c>
      <c r="N304">
        <v>2.64</v>
      </c>
    </row>
    <row r="305" spans="1:14">
      <c r="A305" t="s">
        <v>881</v>
      </c>
      <c r="B305" s="3">
        <v>46200</v>
      </c>
      <c r="C305" t="s">
        <v>117</v>
      </c>
      <c r="D305" t="s">
        <v>66</v>
      </c>
      <c r="E305" t="s">
        <v>46</v>
      </c>
      <c r="F305" t="s">
        <v>24</v>
      </c>
      <c r="G305">
        <v>1</v>
      </c>
      <c r="H305">
        <v>1.79</v>
      </c>
      <c r="I305" t="s">
        <v>19</v>
      </c>
      <c r="J305">
        <v>22</v>
      </c>
      <c r="K305">
        <v>0</v>
      </c>
      <c r="L305">
        <v>6</v>
      </c>
      <c r="M305">
        <v>4.7</v>
      </c>
      <c r="N305">
        <v>1.79</v>
      </c>
    </row>
    <row r="306" spans="1:14">
      <c r="A306" t="s">
        <v>842</v>
      </c>
      <c r="B306" s="3">
        <v>46200</v>
      </c>
      <c r="C306" t="s">
        <v>99</v>
      </c>
      <c r="D306" t="s">
        <v>66</v>
      </c>
      <c r="E306" t="s">
        <v>17</v>
      </c>
      <c r="F306" t="s">
        <v>18</v>
      </c>
      <c r="G306">
        <v>1</v>
      </c>
      <c r="H306">
        <v>1.75</v>
      </c>
      <c r="I306" t="s">
        <v>19</v>
      </c>
      <c r="J306">
        <v>12</v>
      </c>
      <c r="K306">
        <v>0</v>
      </c>
      <c r="L306">
        <v>5</v>
      </c>
      <c r="M306">
        <v>3.9</v>
      </c>
      <c r="N306">
        <v>1.75</v>
      </c>
    </row>
    <row r="307" spans="1:14">
      <c r="A307" t="s">
        <v>419</v>
      </c>
      <c r="B307" s="3">
        <v>46200</v>
      </c>
      <c r="C307" t="s">
        <v>156</v>
      </c>
      <c r="D307" t="s">
        <v>66</v>
      </c>
      <c r="E307" t="s">
        <v>106</v>
      </c>
      <c r="F307" t="s">
        <v>18</v>
      </c>
      <c r="G307">
        <v>3</v>
      </c>
      <c r="H307">
        <v>1.89</v>
      </c>
      <c r="I307" t="s">
        <v>19</v>
      </c>
      <c r="J307">
        <v>18</v>
      </c>
      <c r="K307">
        <v>0</v>
      </c>
      <c r="L307">
        <v>7</v>
      </c>
      <c r="M307">
        <v>1.3</v>
      </c>
      <c r="N307">
        <v>5.67</v>
      </c>
    </row>
    <row r="308" spans="1:14">
      <c r="A308" t="s">
        <v>660</v>
      </c>
      <c r="B308" s="3">
        <v>46200</v>
      </c>
      <c r="C308" t="s">
        <v>277</v>
      </c>
      <c r="D308" t="s">
        <v>66</v>
      </c>
      <c r="E308" t="s">
        <v>125</v>
      </c>
      <c r="F308" t="s">
        <v>39</v>
      </c>
      <c r="G308">
        <v>2</v>
      </c>
      <c r="H308">
        <v>1.85</v>
      </c>
      <c r="I308" t="s">
        <v>19</v>
      </c>
      <c r="J308">
        <v>40</v>
      </c>
      <c r="K308">
        <v>0</v>
      </c>
      <c r="L308">
        <v>5</v>
      </c>
      <c r="M308">
        <v>5.2</v>
      </c>
      <c r="N308">
        <v>3.7</v>
      </c>
    </row>
    <row r="309" spans="1:14">
      <c r="A309" t="s">
        <v>641</v>
      </c>
      <c r="B309" s="3">
        <v>46200</v>
      </c>
      <c r="C309" t="s">
        <v>388</v>
      </c>
      <c r="D309" t="s">
        <v>66</v>
      </c>
      <c r="E309" t="s">
        <v>106</v>
      </c>
      <c r="F309" t="s">
        <v>18</v>
      </c>
      <c r="G309">
        <v>1</v>
      </c>
      <c r="H309">
        <v>1.89</v>
      </c>
      <c r="I309" t="s">
        <v>19</v>
      </c>
      <c r="J309">
        <v>11</v>
      </c>
      <c r="K309">
        <v>0</v>
      </c>
      <c r="L309">
        <v>6</v>
      </c>
      <c r="M309">
        <v>5.8</v>
      </c>
      <c r="N309">
        <v>1.89</v>
      </c>
    </row>
    <row r="310" spans="1:14">
      <c r="A310" t="s">
        <v>613</v>
      </c>
      <c r="B310" s="3">
        <v>46200</v>
      </c>
      <c r="C310" t="s">
        <v>335</v>
      </c>
      <c r="D310" t="s">
        <v>66</v>
      </c>
      <c r="E310" t="s">
        <v>28</v>
      </c>
      <c r="F310" t="s">
        <v>29</v>
      </c>
      <c r="G310">
        <v>2</v>
      </c>
      <c r="H310">
        <v>3.29</v>
      </c>
      <c r="I310" t="s">
        <v>19</v>
      </c>
      <c r="J310">
        <v>6</v>
      </c>
      <c r="K310">
        <v>0</v>
      </c>
      <c r="L310">
        <v>7</v>
      </c>
      <c r="M310">
        <v>5.9</v>
      </c>
      <c r="N310">
        <v>6.58</v>
      </c>
    </row>
    <row r="311" spans="1:14">
      <c r="A311" t="s">
        <v>497</v>
      </c>
      <c r="B311" s="3">
        <v>46200</v>
      </c>
      <c r="C311" t="s">
        <v>458</v>
      </c>
      <c r="D311" t="s">
        <v>66</v>
      </c>
      <c r="E311" t="s">
        <v>57</v>
      </c>
      <c r="F311" t="s">
        <v>43</v>
      </c>
      <c r="G311">
        <v>1</v>
      </c>
      <c r="H311">
        <v>1.44</v>
      </c>
      <c r="I311" t="s">
        <v>30</v>
      </c>
      <c r="J311">
        <v>36</v>
      </c>
      <c r="K311">
        <v>0</v>
      </c>
      <c r="L311">
        <v>7</v>
      </c>
      <c r="M311">
        <v>6.6</v>
      </c>
      <c r="N311">
        <v>1.44</v>
      </c>
    </row>
    <row r="312" spans="1:14">
      <c r="A312" t="s">
        <v>1193</v>
      </c>
      <c r="B312" s="3">
        <v>46201</v>
      </c>
      <c r="C312" t="s">
        <v>130</v>
      </c>
      <c r="D312" t="s">
        <v>27</v>
      </c>
      <c r="E312" t="s">
        <v>23</v>
      </c>
      <c r="F312" t="s">
        <v>24</v>
      </c>
      <c r="G312">
        <v>3</v>
      </c>
      <c r="H312">
        <v>0.95</v>
      </c>
      <c r="I312" t="s">
        <v>19</v>
      </c>
      <c r="J312">
        <v>55</v>
      </c>
      <c r="K312">
        <v>0</v>
      </c>
      <c r="L312">
        <v>6</v>
      </c>
      <c r="M312">
        <v>5.0999999999999996</v>
      </c>
      <c r="N312">
        <v>2.8499999999999996</v>
      </c>
    </row>
    <row r="313" spans="1:14">
      <c r="A313" t="s">
        <v>100</v>
      </c>
      <c r="B313" s="3">
        <v>46201</v>
      </c>
      <c r="C313" t="s">
        <v>101</v>
      </c>
      <c r="D313" t="s">
        <v>27</v>
      </c>
      <c r="E313" t="s">
        <v>60</v>
      </c>
      <c r="F313" t="s">
        <v>29</v>
      </c>
      <c r="G313">
        <v>1</v>
      </c>
      <c r="H313">
        <v>2.69</v>
      </c>
      <c r="I313" t="s">
        <v>19</v>
      </c>
      <c r="J313">
        <v>52</v>
      </c>
      <c r="K313">
        <v>0</v>
      </c>
      <c r="L313">
        <v>7</v>
      </c>
      <c r="M313">
        <v>2.2999999999999998</v>
      </c>
      <c r="N313">
        <v>2.69</v>
      </c>
    </row>
    <row r="314" spans="1:14">
      <c r="A314" t="s">
        <v>187</v>
      </c>
      <c r="B314" s="3">
        <v>46201</v>
      </c>
      <c r="C314" t="s">
        <v>62</v>
      </c>
      <c r="D314" t="s">
        <v>27</v>
      </c>
      <c r="E314" t="s">
        <v>106</v>
      </c>
      <c r="F314" t="s">
        <v>18</v>
      </c>
      <c r="G314">
        <v>3</v>
      </c>
      <c r="H314">
        <v>1.89</v>
      </c>
      <c r="I314" t="s">
        <v>19</v>
      </c>
      <c r="J314">
        <v>36</v>
      </c>
      <c r="K314">
        <v>0</v>
      </c>
      <c r="L314">
        <v>8</v>
      </c>
      <c r="M314">
        <v>6.7</v>
      </c>
      <c r="N314">
        <v>5.67</v>
      </c>
    </row>
    <row r="315" spans="1:14">
      <c r="A315" t="s">
        <v>1032</v>
      </c>
      <c r="B315" s="3">
        <v>46201</v>
      </c>
      <c r="C315" t="s">
        <v>1033</v>
      </c>
      <c r="D315" t="s">
        <v>27</v>
      </c>
      <c r="E315" t="s">
        <v>34</v>
      </c>
      <c r="F315" t="s">
        <v>24</v>
      </c>
      <c r="G315">
        <v>3</v>
      </c>
      <c r="H315">
        <v>1.27</v>
      </c>
      <c r="I315" t="s">
        <v>30</v>
      </c>
      <c r="J315">
        <v>54</v>
      </c>
      <c r="K315">
        <v>0</v>
      </c>
      <c r="L315">
        <v>6</v>
      </c>
      <c r="M315">
        <v>2.5</v>
      </c>
      <c r="N315">
        <v>3.81</v>
      </c>
    </row>
    <row r="316" spans="1:14">
      <c r="A316" t="s">
        <v>933</v>
      </c>
      <c r="B316" s="3">
        <v>46201</v>
      </c>
      <c r="C316" t="s">
        <v>202</v>
      </c>
      <c r="D316" t="s">
        <v>27</v>
      </c>
      <c r="E316" t="s">
        <v>85</v>
      </c>
      <c r="F316" t="s">
        <v>18</v>
      </c>
      <c r="G316">
        <v>1</v>
      </c>
      <c r="H316">
        <v>2.4900000000000002</v>
      </c>
      <c r="I316" t="s">
        <v>19</v>
      </c>
      <c r="J316">
        <v>10</v>
      </c>
      <c r="K316">
        <v>0</v>
      </c>
      <c r="L316">
        <v>7</v>
      </c>
      <c r="M316">
        <v>5.4</v>
      </c>
      <c r="N316">
        <v>2.4900000000000002</v>
      </c>
    </row>
    <row r="317" spans="1:14">
      <c r="A317" t="s">
        <v>917</v>
      </c>
      <c r="B317" s="3">
        <v>46201</v>
      </c>
      <c r="C317" t="s">
        <v>168</v>
      </c>
      <c r="D317" t="s">
        <v>27</v>
      </c>
      <c r="E317" t="s">
        <v>115</v>
      </c>
      <c r="F317" t="s">
        <v>29</v>
      </c>
      <c r="G317">
        <v>3</v>
      </c>
      <c r="H317">
        <v>3.99</v>
      </c>
      <c r="I317" t="s">
        <v>19</v>
      </c>
      <c r="J317">
        <v>25</v>
      </c>
      <c r="K317">
        <v>0</v>
      </c>
      <c r="L317">
        <v>6</v>
      </c>
      <c r="M317">
        <v>4.0999999999999996</v>
      </c>
      <c r="N317">
        <v>11.97</v>
      </c>
    </row>
    <row r="318" spans="1:14">
      <c r="A318" t="s">
        <v>291</v>
      </c>
      <c r="B318" s="3">
        <v>46201</v>
      </c>
      <c r="C318" t="s">
        <v>292</v>
      </c>
      <c r="D318" t="s">
        <v>27</v>
      </c>
      <c r="E318" t="s">
        <v>17</v>
      </c>
      <c r="F318" t="s">
        <v>18</v>
      </c>
      <c r="G318">
        <v>1</v>
      </c>
      <c r="H318">
        <v>1.49</v>
      </c>
      <c r="I318" t="s">
        <v>30</v>
      </c>
      <c r="J318">
        <v>24</v>
      </c>
      <c r="K318">
        <v>0</v>
      </c>
      <c r="L318">
        <v>5</v>
      </c>
      <c r="M318">
        <v>3.2</v>
      </c>
      <c r="N318">
        <v>1.49</v>
      </c>
    </row>
    <row r="319" spans="1:14">
      <c r="A319" t="s">
        <v>402</v>
      </c>
      <c r="B319" s="3">
        <v>46201</v>
      </c>
      <c r="C319" t="s">
        <v>403</v>
      </c>
      <c r="D319" t="s">
        <v>27</v>
      </c>
      <c r="E319" t="s">
        <v>78</v>
      </c>
      <c r="F319" t="s">
        <v>39</v>
      </c>
      <c r="G319">
        <v>1</v>
      </c>
      <c r="H319">
        <v>1.55</v>
      </c>
      <c r="I319" t="s">
        <v>19</v>
      </c>
      <c r="J319">
        <v>27</v>
      </c>
      <c r="K319">
        <v>0</v>
      </c>
      <c r="L319">
        <v>4</v>
      </c>
      <c r="M319">
        <v>2.8</v>
      </c>
      <c r="N319">
        <v>1.55</v>
      </c>
    </row>
    <row r="320" spans="1:14">
      <c r="A320" t="s">
        <v>724</v>
      </c>
      <c r="B320" s="3">
        <v>46201</v>
      </c>
      <c r="C320" t="s">
        <v>415</v>
      </c>
      <c r="D320" t="s">
        <v>27</v>
      </c>
      <c r="E320" t="s">
        <v>106</v>
      </c>
      <c r="F320" t="s">
        <v>18</v>
      </c>
      <c r="G320">
        <v>1</v>
      </c>
      <c r="H320">
        <v>1.89</v>
      </c>
      <c r="I320" t="s">
        <v>19</v>
      </c>
      <c r="J320">
        <v>20</v>
      </c>
      <c r="K320">
        <v>0</v>
      </c>
      <c r="L320">
        <v>5</v>
      </c>
      <c r="M320">
        <v>3.8</v>
      </c>
      <c r="N320">
        <v>1.89</v>
      </c>
    </row>
    <row r="321" spans="1:14">
      <c r="A321" t="s">
        <v>418</v>
      </c>
      <c r="B321" s="3">
        <v>46201</v>
      </c>
      <c r="C321" t="s">
        <v>303</v>
      </c>
      <c r="D321" t="s">
        <v>27</v>
      </c>
      <c r="E321" t="s">
        <v>57</v>
      </c>
      <c r="F321" t="s">
        <v>43</v>
      </c>
      <c r="G321">
        <v>1</v>
      </c>
      <c r="H321">
        <v>1.69</v>
      </c>
      <c r="I321" t="s">
        <v>19</v>
      </c>
      <c r="J321">
        <v>14</v>
      </c>
      <c r="K321">
        <v>3</v>
      </c>
      <c r="L321">
        <v>6</v>
      </c>
      <c r="M321">
        <v>2.4</v>
      </c>
      <c r="N321">
        <v>1.69</v>
      </c>
    </row>
    <row r="322" spans="1:14">
      <c r="A322" t="s">
        <v>437</v>
      </c>
      <c r="B322" s="3">
        <v>46201</v>
      </c>
      <c r="C322" t="s">
        <v>41</v>
      </c>
      <c r="D322" t="s">
        <v>27</v>
      </c>
      <c r="E322" t="s">
        <v>63</v>
      </c>
      <c r="F322" t="s">
        <v>50</v>
      </c>
      <c r="G322">
        <v>4</v>
      </c>
      <c r="H322">
        <v>3.49</v>
      </c>
      <c r="I322" t="s">
        <v>19</v>
      </c>
      <c r="J322">
        <v>49</v>
      </c>
      <c r="K322">
        <v>0</v>
      </c>
      <c r="L322">
        <v>6</v>
      </c>
      <c r="M322">
        <v>2.2999999999999998</v>
      </c>
      <c r="N322">
        <v>13.96</v>
      </c>
    </row>
    <row r="323" spans="1:14">
      <c r="A323" t="s">
        <v>656</v>
      </c>
      <c r="B323" s="3">
        <v>46201</v>
      </c>
      <c r="C323" t="s">
        <v>458</v>
      </c>
      <c r="D323" t="s">
        <v>27</v>
      </c>
      <c r="E323" t="s">
        <v>120</v>
      </c>
      <c r="F323" t="s">
        <v>50</v>
      </c>
      <c r="G323">
        <v>2</v>
      </c>
      <c r="H323">
        <v>1.91</v>
      </c>
      <c r="I323" t="s">
        <v>30</v>
      </c>
      <c r="J323">
        <v>44</v>
      </c>
      <c r="K323">
        <v>0</v>
      </c>
      <c r="L323">
        <v>8</v>
      </c>
      <c r="M323">
        <v>2.7</v>
      </c>
      <c r="N323">
        <v>3.82</v>
      </c>
    </row>
    <row r="324" spans="1:14">
      <c r="A324" t="s">
        <v>614</v>
      </c>
      <c r="B324" s="3">
        <v>46201</v>
      </c>
      <c r="C324" t="s">
        <v>65</v>
      </c>
      <c r="D324" t="s">
        <v>27</v>
      </c>
      <c r="E324" t="s">
        <v>46</v>
      </c>
      <c r="F324" t="s">
        <v>24</v>
      </c>
      <c r="G324">
        <v>1</v>
      </c>
      <c r="H324">
        <v>1.79</v>
      </c>
      <c r="I324" t="s">
        <v>19</v>
      </c>
      <c r="J324">
        <v>7</v>
      </c>
      <c r="K324">
        <v>0</v>
      </c>
      <c r="L324">
        <v>5</v>
      </c>
      <c r="M324">
        <v>4.2</v>
      </c>
      <c r="N324">
        <v>1.79</v>
      </c>
    </row>
    <row r="325" spans="1:14">
      <c r="A325" t="s">
        <v>1162</v>
      </c>
      <c r="B325" s="3">
        <v>46202</v>
      </c>
      <c r="C325" t="s">
        <v>48</v>
      </c>
      <c r="D325" t="s">
        <v>33</v>
      </c>
      <c r="E325" t="s">
        <v>78</v>
      </c>
      <c r="F325" t="s">
        <v>39</v>
      </c>
      <c r="G325">
        <v>1</v>
      </c>
      <c r="H325">
        <v>1.55</v>
      </c>
      <c r="I325" t="s">
        <v>19</v>
      </c>
      <c r="J325">
        <v>35</v>
      </c>
      <c r="K325">
        <v>0</v>
      </c>
      <c r="L325">
        <v>8</v>
      </c>
      <c r="M325">
        <v>4.9000000000000004</v>
      </c>
      <c r="N325">
        <v>1.55</v>
      </c>
    </row>
    <row r="326" spans="1:14">
      <c r="A326" t="s">
        <v>1146</v>
      </c>
      <c r="B326" s="3">
        <v>46202</v>
      </c>
      <c r="C326" t="s">
        <v>170</v>
      </c>
      <c r="D326" t="s">
        <v>33</v>
      </c>
      <c r="E326" t="s">
        <v>57</v>
      </c>
      <c r="F326" t="s">
        <v>43</v>
      </c>
      <c r="G326">
        <v>1</v>
      </c>
      <c r="H326">
        <v>1.44</v>
      </c>
      <c r="I326" t="s">
        <v>30</v>
      </c>
      <c r="J326">
        <v>29</v>
      </c>
      <c r="K326">
        <v>0</v>
      </c>
      <c r="L326">
        <v>8</v>
      </c>
      <c r="M326">
        <v>5.5</v>
      </c>
      <c r="N326">
        <v>1.44</v>
      </c>
    </row>
    <row r="327" spans="1:14">
      <c r="A327" t="s">
        <v>111</v>
      </c>
      <c r="B327" s="3">
        <v>46202</v>
      </c>
      <c r="C327" t="s">
        <v>112</v>
      </c>
      <c r="D327" t="s">
        <v>33</v>
      </c>
      <c r="E327" t="s">
        <v>63</v>
      </c>
      <c r="F327" t="s">
        <v>50</v>
      </c>
      <c r="G327">
        <v>3</v>
      </c>
      <c r="H327">
        <v>2.97</v>
      </c>
      <c r="I327" t="s">
        <v>30</v>
      </c>
      <c r="J327">
        <v>4</v>
      </c>
      <c r="K327">
        <v>1</v>
      </c>
      <c r="L327">
        <v>6</v>
      </c>
      <c r="M327">
        <v>1.3</v>
      </c>
      <c r="N327">
        <v>8.91</v>
      </c>
    </row>
    <row r="328" spans="1:14">
      <c r="A328" t="s">
        <v>139</v>
      </c>
      <c r="B328" s="3">
        <v>46202</v>
      </c>
      <c r="C328" t="s">
        <v>77</v>
      </c>
      <c r="D328" t="s">
        <v>33</v>
      </c>
      <c r="E328" t="s">
        <v>106</v>
      </c>
      <c r="F328" t="s">
        <v>18</v>
      </c>
      <c r="G328">
        <v>1</v>
      </c>
      <c r="H328">
        <v>1.89</v>
      </c>
      <c r="I328" t="s">
        <v>19</v>
      </c>
      <c r="J328">
        <v>53</v>
      </c>
      <c r="K328">
        <v>0</v>
      </c>
      <c r="L328">
        <v>6</v>
      </c>
      <c r="M328">
        <v>5.4</v>
      </c>
      <c r="N328">
        <v>1.89</v>
      </c>
    </row>
    <row r="329" spans="1:14">
      <c r="A329" t="s">
        <v>1016</v>
      </c>
      <c r="B329" s="3">
        <v>46202</v>
      </c>
      <c r="C329" t="s">
        <v>443</v>
      </c>
      <c r="D329" t="s">
        <v>33</v>
      </c>
      <c r="E329" t="s">
        <v>17</v>
      </c>
      <c r="F329" t="s">
        <v>18</v>
      </c>
      <c r="G329">
        <v>3</v>
      </c>
      <c r="H329">
        <v>1.75</v>
      </c>
      <c r="I329" t="s">
        <v>19</v>
      </c>
      <c r="J329">
        <v>22</v>
      </c>
      <c r="K329">
        <v>0</v>
      </c>
      <c r="L329">
        <v>6</v>
      </c>
      <c r="M329">
        <v>6</v>
      </c>
      <c r="N329">
        <v>5.25</v>
      </c>
    </row>
    <row r="330" spans="1:14">
      <c r="A330" t="s">
        <v>342</v>
      </c>
      <c r="B330" s="3">
        <v>46202</v>
      </c>
      <c r="C330" t="s">
        <v>77</v>
      </c>
      <c r="D330" t="s">
        <v>33</v>
      </c>
      <c r="E330" t="s">
        <v>120</v>
      </c>
      <c r="F330" t="s">
        <v>50</v>
      </c>
      <c r="G330">
        <v>1</v>
      </c>
      <c r="H330">
        <v>1.91</v>
      </c>
      <c r="I330" t="s">
        <v>30</v>
      </c>
      <c r="J330">
        <v>53</v>
      </c>
      <c r="K330">
        <v>0</v>
      </c>
      <c r="L330">
        <v>8</v>
      </c>
      <c r="M330">
        <v>4.2</v>
      </c>
      <c r="N330">
        <v>1.91</v>
      </c>
    </row>
    <row r="331" spans="1:14">
      <c r="A331" t="s">
        <v>760</v>
      </c>
      <c r="B331" s="3">
        <v>46202</v>
      </c>
      <c r="C331" t="s">
        <v>84</v>
      </c>
      <c r="D331" t="s">
        <v>33</v>
      </c>
      <c r="E331" t="s">
        <v>78</v>
      </c>
      <c r="F331" t="s">
        <v>39</v>
      </c>
      <c r="G331">
        <v>3</v>
      </c>
      <c r="H331">
        <v>1.55</v>
      </c>
      <c r="I331" t="s">
        <v>19</v>
      </c>
      <c r="J331">
        <v>53</v>
      </c>
      <c r="K331">
        <v>0</v>
      </c>
      <c r="L331">
        <v>4</v>
      </c>
      <c r="M331">
        <v>3.3</v>
      </c>
      <c r="N331">
        <v>4.6500000000000004</v>
      </c>
    </row>
    <row r="332" spans="1:14">
      <c r="A332" t="s">
        <v>405</v>
      </c>
      <c r="B332" s="3">
        <v>46202</v>
      </c>
      <c r="C332" t="s">
        <v>150</v>
      </c>
      <c r="D332" t="s">
        <v>33</v>
      </c>
      <c r="E332" t="s">
        <v>49</v>
      </c>
      <c r="F332" t="s">
        <v>50</v>
      </c>
      <c r="G332">
        <v>1</v>
      </c>
      <c r="H332">
        <v>3.36</v>
      </c>
      <c r="I332" t="s">
        <v>30</v>
      </c>
      <c r="J332">
        <v>3</v>
      </c>
      <c r="K332">
        <v>0</v>
      </c>
      <c r="L332">
        <v>6</v>
      </c>
      <c r="M332">
        <v>1.9</v>
      </c>
      <c r="N332">
        <v>3.36</v>
      </c>
    </row>
    <row r="333" spans="1:14">
      <c r="A333" t="s">
        <v>568</v>
      </c>
      <c r="B333" s="3">
        <v>46202</v>
      </c>
      <c r="C333" t="s">
        <v>62</v>
      </c>
      <c r="D333" t="s">
        <v>33</v>
      </c>
      <c r="E333" t="s">
        <v>115</v>
      </c>
      <c r="F333" t="s">
        <v>29</v>
      </c>
      <c r="G333">
        <v>1</v>
      </c>
      <c r="H333">
        <v>3.39</v>
      </c>
      <c r="I333" t="s">
        <v>30</v>
      </c>
      <c r="J333">
        <v>46</v>
      </c>
      <c r="K333">
        <v>0</v>
      </c>
      <c r="L333">
        <v>7</v>
      </c>
      <c r="M333">
        <v>6</v>
      </c>
      <c r="N333">
        <v>3.39</v>
      </c>
    </row>
    <row r="334" spans="1:14">
      <c r="A334" t="s">
        <v>558</v>
      </c>
      <c r="B334" s="3">
        <v>46202</v>
      </c>
      <c r="C334" t="s">
        <v>45</v>
      </c>
      <c r="D334" t="s">
        <v>33</v>
      </c>
      <c r="E334" t="s">
        <v>69</v>
      </c>
      <c r="F334" t="s">
        <v>43</v>
      </c>
      <c r="G334">
        <v>1</v>
      </c>
      <c r="H334">
        <v>1.69</v>
      </c>
      <c r="I334" t="s">
        <v>30</v>
      </c>
      <c r="J334">
        <v>53</v>
      </c>
      <c r="K334">
        <v>0</v>
      </c>
      <c r="L334">
        <v>6</v>
      </c>
      <c r="M334">
        <v>5.7</v>
      </c>
      <c r="N334">
        <v>1.69</v>
      </c>
    </row>
    <row r="335" spans="1:14">
      <c r="A335" t="s">
        <v>1211</v>
      </c>
      <c r="B335" s="3">
        <v>46203</v>
      </c>
      <c r="C335" t="s">
        <v>409</v>
      </c>
      <c r="D335" t="s">
        <v>22</v>
      </c>
      <c r="E335" t="s">
        <v>17</v>
      </c>
      <c r="F335" t="s">
        <v>18</v>
      </c>
      <c r="G335">
        <v>4</v>
      </c>
      <c r="H335">
        <v>1.75</v>
      </c>
      <c r="I335" t="s">
        <v>19</v>
      </c>
      <c r="J335">
        <v>46</v>
      </c>
      <c r="K335">
        <v>0</v>
      </c>
      <c r="L335">
        <v>7</v>
      </c>
      <c r="M335">
        <v>1.3</v>
      </c>
      <c r="N335">
        <v>7</v>
      </c>
    </row>
    <row r="336" spans="1:14">
      <c r="A336" t="s">
        <v>138</v>
      </c>
      <c r="B336" s="3">
        <v>46203</v>
      </c>
      <c r="C336" t="s">
        <v>68</v>
      </c>
      <c r="D336" t="s">
        <v>22</v>
      </c>
      <c r="E336" t="s">
        <v>115</v>
      </c>
      <c r="F336" t="s">
        <v>29</v>
      </c>
      <c r="G336">
        <v>2</v>
      </c>
      <c r="H336">
        <v>3.99</v>
      </c>
      <c r="I336" t="s">
        <v>19</v>
      </c>
      <c r="J336">
        <v>42</v>
      </c>
      <c r="K336">
        <v>0</v>
      </c>
      <c r="L336">
        <v>4</v>
      </c>
      <c r="M336">
        <v>2.2999999999999998</v>
      </c>
      <c r="N336">
        <v>7.98</v>
      </c>
    </row>
    <row r="337" spans="1:14">
      <c r="A337" t="s">
        <v>151</v>
      </c>
      <c r="B337" s="3">
        <v>46203</v>
      </c>
      <c r="C337" t="s">
        <v>152</v>
      </c>
      <c r="D337" t="s">
        <v>22</v>
      </c>
      <c r="E337" t="s">
        <v>17</v>
      </c>
      <c r="F337" t="s">
        <v>18</v>
      </c>
      <c r="G337">
        <v>3</v>
      </c>
      <c r="H337">
        <v>1.75</v>
      </c>
      <c r="I337" t="s">
        <v>19</v>
      </c>
      <c r="J337">
        <v>18</v>
      </c>
      <c r="K337">
        <v>0</v>
      </c>
      <c r="L337">
        <v>5</v>
      </c>
      <c r="M337">
        <v>3.5</v>
      </c>
      <c r="N337">
        <v>5.25</v>
      </c>
    </row>
    <row r="338" spans="1:14">
      <c r="A338" t="s">
        <v>991</v>
      </c>
      <c r="B338" s="3">
        <v>46203</v>
      </c>
      <c r="C338" t="s">
        <v>365</v>
      </c>
      <c r="D338" t="s">
        <v>22</v>
      </c>
      <c r="E338" t="s">
        <v>125</v>
      </c>
      <c r="F338" t="s">
        <v>39</v>
      </c>
      <c r="G338">
        <v>3</v>
      </c>
      <c r="H338">
        <v>1.85</v>
      </c>
      <c r="I338" t="s">
        <v>19</v>
      </c>
      <c r="J338">
        <v>18</v>
      </c>
      <c r="K338">
        <v>0</v>
      </c>
      <c r="L338">
        <v>8</v>
      </c>
      <c r="M338">
        <v>4.3</v>
      </c>
      <c r="N338">
        <v>5.5500000000000007</v>
      </c>
    </row>
    <row r="339" spans="1:14">
      <c r="A339" t="s">
        <v>884</v>
      </c>
      <c r="B339" s="3">
        <v>46203</v>
      </c>
      <c r="C339" t="s">
        <v>170</v>
      </c>
      <c r="D339" t="s">
        <v>22</v>
      </c>
      <c r="E339" t="s">
        <v>28</v>
      </c>
      <c r="F339" t="s">
        <v>29</v>
      </c>
      <c r="G339">
        <v>1</v>
      </c>
      <c r="H339">
        <v>3.29</v>
      </c>
      <c r="I339" t="s">
        <v>19</v>
      </c>
      <c r="J339">
        <v>22</v>
      </c>
      <c r="K339">
        <v>0</v>
      </c>
      <c r="L339">
        <v>7</v>
      </c>
      <c r="M339">
        <v>3.9</v>
      </c>
      <c r="N339">
        <v>3.29</v>
      </c>
    </row>
    <row r="340" spans="1:14">
      <c r="A340" t="s">
        <v>815</v>
      </c>
      <c r="B340" s="3">
        <v>46203</v>
      </c>
      <c r="C340" t="s">
        <v>170</v>
      </c>
      <c r="D340" t="s">
        <v>22</v>
      </c>
      <c r="E340" t="s">
        <v>106</v>
      </c>
      <c r="F340" t="s">
        <v>18</v>
      </c>
      <c r="G340">
        <v>2</v>
      </c>
      <c r="H340">
        <v>1.89</v>
      </c>
      <c r="I340" t="s">
        <v>19</v>
      </c>
      <c r="J340">
        <v>4</v>
      </c>
      <c r="K340">
        <v>0</v>
      </c>
      <c r="L340">
        <v>6</v>
      </c>
      <c r="M340">
        <v>4.2</v>
      </c>
      <c r="N340">
        <v>3.78</v>
      </c>
    </row>
    <row r="341" spans="1:14">
      <c r="A341" t="s">
        <v>803</v>
      </c>
      <c r="B341" s="3">
        <v>46203</v>
      </c>
      <c r="C341" t="s">
        <v>305</v>
      </c>
      <c r="D341" t="s">
        <v>22</v>
      </c>
      <c r="E341" t="s">
        <v>63</v>
      </c>
      <c r="F341" t="s">
        <v>50</v>
      </c>
      <c r="G341">
        <v>3</v>
      </c>
      <c r="H341">
        <v>2.97</v>
      </c>
      <c r="I341" t="s">
        <v>30</v>
      </c>
      <c r="J341">
        <v>10</v>
      </c>
      <c r="K341">
        <v>0</v>
      </c>
      <c r="L341">
        <v>6</v>
      </c>
      <c r="M341">
        <v>4.8</v>
      </c>
      <c r="N341">
        <v>8.91</v>
      </c>
    </row>
    <row r="342" spans="1:14">
      <c r="A342" t="s">
        <v>780</v>
      </c>
      <c r="B342" s="3">
        <v>46203</v>
      </c>
      <c r="C342" t="s">
        <v>345</v>
      </c>
      <c r="D342" t="s">
        <v>22</v>
      </c>
      <c r="E342" t="s">
        <v>57</v>
      </c>
      <c r="F342" t="s">
        <v>43</v>
      </c>
      <c r="G342">
        <v>2</v>
      </c>
      <c r="H342">
        <v>1.69</v>
      </c>
      <c r="I342" t="s">
        <v>19</v>
      </c>
      <c r="J342">
        <v>24</v>
      </c>
      <c r="K342">
        <v>2</v>
      </c>
      <c r="L342">
        <v>8</v>
      </c>
      <c r="M342">
        <v>2.9</v>
      </c>
      <c r="N342">
        <v>3.38</v>
      </c>
    </row>
    <row r="343" spans="1:14">
      <c r="A343" t="s">
        <v>658</v>
      </c>
      <c r="B343" s="3">
        <v>46203</v>
      </c>
      <c r="C343" t="s">
        <v>258</v>
      </c>
      <c r="D343" t="s">
        <v>22</v>
      </c>
      <c r="E343" t="s">
        <v>85</v>
      </c>
      <c r="F343" t="s">
        <v>18</v>
      </c>
      <c r="G343">
        <v>1</v>
      </c>
      <c r="H343">
        <v>2.4900000000000002</v>
      </c>
      <c r="I343" t="s">
        <v>19</v>
      </c>
      <c r="J343">
        <v>57</v>
      </c>
      <c r="K343">
        <v>0</v>
      </c>
      <c r="L343">
        <v>7</v>
      </c>
      <c r="M343">
        <v>1.3</v>
      </c>
      <c r="N343">
        <v>2.4900000000000002</v>
      </c>
    </row>
    <row r="344" spans="1:14">
      <c r="A344" t="s">
        <v>638</v>
      </c>
      <c r="B344" s="3">
        <v>46203</v>
      </c>
      <c r="C344" t="s">
        <v>62</v>
      </c>
      <c r="D344" t="s">
        <v>22</v>
      </c>
      <c r="E344" t="s">
        <v>125</v>
      </c>
      <c r="F344" t="s">
        <v>39</v>
      </c>
      <c r="G344">
        <v>2</v>
      </c>
      <c r="H344">
        <v>1.85</v>
      </c>
      <c r="I344" t="s">
        <v>19</v>
      </c>
      <c r="J344">
        <v>8</v>
      </c>
      <c r="K344">
        <v>0</v>
      </c>
      <c r="L344">
        <v>7</v>
      </c>
      <c r="M344">
        <v>5</v>
      </c>
      <c r="N344">
        <v>3.7</v>
      </c>
    </row>
    <row r="345" spans="1:14">
      <c r="A345" t="s">
        <v>571</v>
      </c>
      <c r="B345" s="3">
        <v>46203</v>
      </c>
      <c r="C345" t="s">
        <v>519</v>
      </c>
      <c r="D345" t="s">
        <v>22</v>
      </c>
      <c r="E345" t="s">
        <v>69</v>
      </c>
      <c r="F345" t="s">
        <v>43</v>
      </c>
      <c r="G345">
        <v>2</v>
      </c>
      <c r="H345">
        <v>1.69</v>
      </c>
      <c r="I345" t="s">
        <v>30</v>
      </c>
      <c r="J345">
        <v>41</v>
      </c>
      <c r="K345">
        <v>1</v>
      </c>
      <c r="L345">
        <v>7</v>
      </c>
      <c r="M345">
        <v>3.5</v>
      </c>
      <c r="N345">
        <v>3.38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897A-1B12-4A5A-AF04-0882BB18474C}">
  <dimension ref="A1:N177"/>
  <sheetViews>
    <sheetView topLeftCell="H1" workbookViewId="0"/>
  </sheetViews>
  <sheetFormatPr defaultRowHeight="14"/>
  <cols>
    <col min="1" max="1" width="32.75" bestFit="1" customWidth="1"/>
    <col min="2" max="2" width="24.08203125" bestFit="1" customWidth="1"/>
    <col min="3" max="3" width="24.4140625" bestFit="1" customWidth="1"/>
    <col min="4" max="4" width="23.4140625" bestFit="1" customWidth="1"/>
    <col min="5" max="5" width="26.9140625" bestFit="1" customWidth="1"/>
    <col min="6" max="6" width="27.9140625" bestFit="1" customWidth="1"/>
    <col min="7" max="7" width="27.33203125" bestFit="1" customWidth="1"/>
    <col min="8" max="8" width="31.25" bestFit="1" customWidth="1"/>
    <col min="9" max="9" width="29.08203125" bestFit="1" customWidth="1"/>
    <col min="10" max="10" width="35.6640625" bestFit="1" customWidth="1"/>
    <col min="11" max="11" width="33.25" bestFit="1" customWidth="1"/>
    <col min="12" max="12" width="31.4140625" bestFit="1" customWidth="1"/>
    <col min="13" max="13" width="38.58203125" bestFit="1" customWidth="1"/>
    <col min="14" max="14" width="30.5" bestFit="1" customWidth="1"/>
  </cols>
  <sheetData>
    <row r="1" spans="1:14">
      <c r="A1" s="12" t="s">
        <v>1275</v>
      </c>
    </row>
    <row r="3" spans="1:14">
      <c r="A3" t="s">
        <v>1261</v>
      </c>
      <c r="B3" t="s">
        <v>1262</v>
      </c>
      <c r="C3" t="s">
        <v>1263</v>
      </c>
      <c r="D3" t="s">
        <v>1264</v>
      </c>
      <c r="E3" t="s">
        <v>1265</v>
      </c>
      <c r="F3" t="s">
        <v>1266</v>
      </c>
      <c r="G3" t="s">
        <v>1267</v>
      </c>
      <c r="H3" t="s">
        <v>1268</v>
      </c>
      <c r="I3" t="s">
        <v>1269</v>
      </c>
      <c r="J3" t="s">
        <v>1270</v>
      </c>
      <c r="K3" t="s">
        <v>1271</v>
      </c>
      <c r="L3" t="s">
        <v>1272</v>
      </c>
      <c r="M3" t="s">
        <v>1273</v>
      </c>
      <c r="N3" t="s">
        <v>1274</v>
      </c>
    </row>
    <row r="4" spans="1:14">
      <c r="A4" t="s">
        <v>47</v>
      </c>
      <c r="B4" s="3">
        <v>46238</v>
      </c>
      <c r="C4" t="s">
        <v>48</v>
      </c>
      <c r="D4" t="s">
        <v>22</v>
      </c>
      <c r="E4" t="s">
        <v>49</v>
      </c>
      <c r="F4" t="s">
        <v>50</v>
      </c>
      <c r="G4">
        <v>1</v>
      </c>
      <c r="H4">
        <v>3.36</v>
      </c>
      <c r="I4" t="s">
        <v>30</v>
      </c>
      <c r="J4">
        <v>20</v>
      </c>
      <c r="K4">
        <v>0</v>
      </c>
      <c r="L4">
        <v>7</v>
      </c>
      <c r="M4">
        <v>3.8</v>
      </c>
      <c r="N4">
        <v>3.36</v>
      </c>
    </row>
    <row r="5" spans="1:14">
      <c r="A5" t="s">
        <v>61</v>
      </c>
      <c r="B5" s="3">
        <v>46231</v>
      </c>
      <c r="C5" t="s">
        <v>62</v>
      </c>
      <c r="D5" t="s">
        <v>22</v>
      </c>
      <c r="E5" t="s">
        <v>63</v>
      </c>
      <c r="F5" t="s">
        <v>50</v>
      </c>
      <c r="G5">
        <v>1</v>
      </c>
      <c r="H5">
        <v>3.49</v>
      </c>
      <c r="I5" t="s">
        <v>19</v>
      </c>
      <c r="J5">
        <v>39</v>
      </c>
      <c r="K5">
        <v>0</v>
      </c>
      <c r="L5">
        <v>9</v>
      </c>
      <c r="M5">
        <v>4.4000000000000004</v>
      </c>
      <c r="N5">
        <v>3.49</v>
      </c>
    </row>
    <row r="6" spans="1:14">
      <c r="A6" t="s">
        <v>75</v>
      </c>
      <c r="B6" s="3">
        <v>46243</v>
      </c>
      <c r="C6" t="s">
        <v>32</v>
      </c>
      <c r="D6" t="s">
        <v>27</v>
      </c>
      <c r="E6" t="s">
        <v>49</v>
      </c>
      <c r="F6" t="s">
        <v>50</v>
      </c>
      <c r="G6">
        <v>3</v>
      </c>
      <c r="H6">
        <v>3.95</v>
      </c>
      <c r="I6" t="s">
        <v>19</v>
      </c>
      <c r="J6">
        <v>19</v>
      </c>
      <c r="K6">
        <v>0</v>
      </c>
      <c r="L6">
        <v>5</v>
      </c>
      <c r="M6">
        <v>3.1</v>
      </c>
      <c r="N6">
        <v>11.850000000000001</v>
      </c>
    </row>
    <row r="7" spans="1:14">
      <c r="A7" t="s">
        <v>79</v>
      </c>
      <c r="B7" s="3">
        <v>46175</v>
      </c>
      <c r="C7" t="s">
        <v>80</v>
      </c>
      <c r="D7" t="s">
        <v>22</v>
      </c>
      <c r="E7" t="s">
        <v>49</v>
      </c>
      <c r="F7" t="s">
        <v>50</v>
      </c>
      <c r="G7">
        <v>2</v>
      </c>
      <c r="H7">
        <v>3.95</v>
      </c>
      <c r="I7" t="s">
        <v>19</v>
      </c>
      <c r="J7">
        <v>44</v>
      </c>
      <c r="K7">
        <v>0</v>
      </c>
      <c r="L7">
        <v>6</v>
      </c>
      <c r="M7">
        <v>2.4</v>
      </c>
      <c r="N7">
        <v>7.9</v>
      </c>
    </row>
    <row r="8" spans="1:14">
      <c r="A8" t="s">
        <v>111</v>
      </c>
      <c r="B8" s="3">
        <v>46202</v>
      </c>
      <c r="C8" t="s">
        <v>112</v>
      </c>
      <c r="D8" t="s">
        <v>33</v>
      </c>
      <c r="E8" t="s">
        <v>63</v>
      </c>
      <c r="F8" t="s">
        <v>50</v>
      </c>
      <c r="G8">
        <v>3</v>
      </c>
      <c r="H8">
        <v>2.97</v>
      </c>
      <c r="I8" t="s">
        <v>30</v>
      </c>
      <c r="J8">
        <v>4</v>
      </c>
      <c r="K8">
        <v>1</v>
      </c>
      <c r="L8">
        <v>6</v>
      </c>
      <c r="M8">
        <v>1.3</v>
      </c>
      <c r="N8">
        <v>8.91</v>
      </c>
    </row>
    <row r="9" spans="1:14">
      <c r="A9" t="s">
        <v>118</v>
      </c>
      <c r="B9" s="3">
        <v>46183</v>
      </c>
      <c r="C9" t="s">
        <v>119</v>
      </c>
      <c r="D9" t="s">
        <v>16</v>
      </c>
      <c r="E9" t="s">
        <v>120</v>
      </c>
      <c r="F9" t="s">
        <v>50</v>
      </c>
      <c r="G9">
        <v>1</v>
      </c>
      <c r="H9">
        <v>2.25</v>
      </c>
      <c r="I9" t="s">
        <v>19</v>
      </c>
      <c r="J9">
        <v>16</v>
      </c>
      <c r="K9">
        <v>0</v>
      </c>
      <c r="L9">
        <v>6</v>
      </c>
      <c r="M9">
        <v>2.8</v>
      </c>
      <c r="N9">
        <v>2.25</v>
      </c>
    </row>
    <row r="10" spans="1:14">
      <c r="A10" t="s">
        <v>127</v>
      </c>
      <c r="B10" s="3">
        <v>46190</v>
      </c>
      <c r="C10" t="s">
        <v>128</v>
      </c>
      <c r="D10" t="s">
        <v>16</v>
      </c>
      <c r="E10" t="s">
        <v>49</v>
      </c>
      <c r="F10" t="s">
        <v>50</v>
      </c>
      <c r="G10">
        <v>1</v>
      </c>
      <c r="H10">
        <v>3.36</v>
      </c>
      <c r="I10" t="s">
        <v>30</v>
      </c>
      <c r="J10">
        <v>35</v>
      </c>
      <c r="K10">
        <v>0</v>
      </c>
      <c r="L10">
        <v>6</v>
      </c>
      <c r="M10">
        <v>1.8</v>
      </c>
      <c r="N10">
        <v>3.36</v>
      </c>
    </row>
    <row r="11" spans="1:14">
      <c r="A11" t="s">
        <v>129</v>
      </c>
      <c r="B11" s="3">
        <v>46218</v>
      </c>
      <c r="C11" t="s">
        <v>130</v>
      </c>
      <c r="D11" t="s">
        <v>16</v>
      </c>
      <c r="E11" t="s">
        <v>120</v>
      </c>
      <c r="F11" t="s">
        <v>50</v>
      </c>
      <c r="G11">
        <v>1</v>
      </c>
      <c r="H11">
        <v>2.25</v>
      </c>
      <c r="I11" t="s">
        <v>19</v>
      </c>
      <c r="J11">
        <v>13</v>
      </c>
      <c r="K11">
        <v>0</v>
      </c>
      <c r="L11">
        <v>7</v>
      </c>
      <c r="M11">
        <v>3</v>
      </c>
      <c r="N11">
        <v>2.25</v>
      </c>
    </row>
    <row r="12" spans="1:14">
      <c r="A12" t="s">
        <v>133</v>
      </c>
      <c r="B12" s="3">
        <v>46185</v>
      </c>
      <c r="C12" t="s">
        <v>134</v>
      </c>
      <c r="D12" t="s">
        <v>72</v>
      </c>
      <c r="E12" t="s">
        <v>120</v>
      </c>
      <c r="F12" t="s">
        <v>50</v>
      </c>
      <c r="G12">
        <v>1</v>
      </c>
      <c r="H12">
        <v>2.25</v>
      </c>
      <c r="I12" t="s">
        <v>19</v>
      </c>
      <c r="J12">
        <v>52</v>
      </c>
      <c r="K12">
        <v>0</v>
      </c>
      <c r="L12">
        <v>5</v>
      </c>
      <c r="M12">
        <v>3.7</v>
      </c>
      <c r="N12">
        <v>2.25</v>
      </c>
    </row>
    <row r="13" spans="1:14">
      <c r="A13" t="s">
        <v>136</v>
      </c>
      <c r="B13" s="3">
        <v>46243</v>
      </c>
      <c r="C13" t="s">
        <v>137</v>
      </c>
      <c r="D13" t="s">
        <v>27</v>
      </c>
      <c r="E13" t="s">
        <v>49</v>
      </c>
      <c r="F13" t="s">
        <v>50</v>
      </c>
      <c r="G13">
        <v>1</v>
      </c>
      <c r="H13">
        <v>3.95</v>
      </c>
      <c r="I13" t="s">
        <v>19</v>
      </c>
      <c r="J13">
        <v>59</v>
      </c>
      <c r="K13">
        <v>0</v>
      </c>
      <c r="L13">
        <v>8</v>
      </c>
      <c r="M13">
        <v>6.2</v>
      </c>
      <c r="N13">
        <v>3.95</v>
      </c>
    </row>
    <row r="14" spans="1:14">
      <c r="A14" t="s">
        <v>140</v>
      </c>
      <c r="B14" s="3">
        <v>46214</v>
      </c>
      <c r="C14" t="s">
        <v>59</v>
      </c>
      <c r="D14" t="s">
        <v>66</v>
      </c>
      <c r="E14" t="s">
        <v>120</v>
      </c>
      <c r="F14" t="s">
        <v>50</v>
      </c>
      <c r="G14">
        <v>2</v>
      </c>
      <c r="H14">
        <v>2.25</v>
      </c>
      <c r="I14" t="s">
        <v>19</v>
      </c>
      <c r="J14">
        <v>55</v>
      </c>
      <c r="K14">
        <v>0</v>
      </c>
      <c r="L14">
        <v>6</v>
      </c>
      <c r="M14">
        <v>4.2</v>
      </c>
      <c r="N14">
        <v>4.5</v>
      </c>
    </row>
    <row r="15" spans="1:14">
      <c r="A15" t="s">
        <v>157</v>
      </c>
      <c r="B15" s="3">
        <v>46175</v>
      </c>
      <c r="C15" t="s">
        <v>144</v>
      </c>
      <c r="D15" t="s">
        <v>22</v>
      </c>
      <c r="E15" t="s">
        <v>49</v>
      </c>
      <c r="F15" t="s">
        <v>50</v>
      </c>
      <c r="G15">
        <v>1</v>
      </c>
      <c r="H15">
        <v>3.95</v>
      </c>
      <c r="I15" t="s">
        <v>19</v>
      </c>
      <c r="J15">
        <v>19</v>
      </c>
      <c r="K15">
        <v>0</v>
      </c>
      <c r="L15">
        <v>9</v>
      </c>
      <c r="M15">
        <v>5.7</v>
      </c>
      <c r="N15">
        <v>3.95</v>
      </c>
    </row>
    <row r="16" spans="1:14">
      <c r="A16" t="s">
        <v>169</v>
      </c>
      <c r="B16" s="3">
        <v>46175</v>
      </c>
      <c r="C16" t="s">
        <v>170</v>
      </c>
      <c r="D16" t="s">
        <v>22</v>
      </c>
      <c r="E16" t="s">
        <v>120</v>
      </c>
      <c r="F16" t="s">
        <v>50</v>
      </c>
      <c r="G16">
        <v>1</v>
      </c>
      <c r="H16">
        <v>2.25</v>
      </c>
      <c r="I16" t="s">
        <v>19</v>
      </c>
      <c r="J16">
        <v>38</v>
      </c>
      <c r="K16">
        <v>0</v>
      </c>
      <c r="L16">
        <v>9</v>
      </c>
      <c r="M16">
        <v>4.5</v>
      </c>
      <c r="N16">
        <v>2.25</v>
      </c>
    </row>
    <row r="17" spans="1:14">
      <c r="A17" t="s">
        <v>172</v>
      </c>
      <c r="B17" s="3">
        <v>46214</v>
      </c>
      <c r="C17" t="s">
        <v>45</v>
      </c>
      <c r="D17" t="s">
        <v>66</v>
      </c>
      <c r="E17" t="s">
        <v>120</v>
      </c>
      <c r="F17" t="s">
        <v>50</v>
      </c>
      <c r="G17">
        <v>1</v>
      </c>
      <c r="H17">
        <v>2.25</v>
      </c>
      <c r="I17" t="s">
        <v>19</v>
      </c>
      <c r="J17">
        <v>3</v>
      </c>
      <c r="K17">
        <v>0</v>
      </c>
      <c r="L17">
        <v>9</v>
      </c>
      <c r="M17">
        <v>3.8</v>
      </c>
      <c r="N17">
        <v>2.25</v>
      </c>
    </row>
    <row r="18" spans="1:14">
      <c r="A18" t="s">
        <v>175</v>
      </c>
      <c r="B18" s="3">
        <v>46195</v>
      </c>
      <c r="C18" t="s">
        <v>176</v>
      </c>
      <c r="D18" t="s">
        <v>33</v>
      </c>
      <c r="E18" t="s">
        <v>120</v>
      </c>
      <c r="F18" t="s">
        <v>50</v>
      </c>
      <c r="G18">
        <v>2</v>
      </c>
      <c r="H18">
        <v>2.25</v>
      </c>
      <c r="I18" t="s">
        <v>19</v>
      </c>
      <c r="J18">
        <v>31</v>
      </c>
      <c r="K18">
        <v>0</v>
      </c>
      <c r="L18">
        <v>5</v>
      </c>
      <c r="M18">
        <v>4</v>
      </c>
      <c r="N18">
        <v>4.5</v>
      </c>
    </row>
    <row r="19" spans="1:14">
      <c r="A19" t="s">
        <v>210</v>
      </c>
      <c r="B19" s="3">
        <v>46207</v>
      </c>
      <c r="C19" t="s">
        <v>211</v>
      </c>
      <c r="D19" t="s">
        <v>66</v>
      </c>
      <c r="E19" t="s">
        <v>120</v>
      </c>
      <c r="F19" t="s">
        <v>50</v>
      </c>
      <c r="G19">
        <v>4</v>
      </c>
      <c r="H19">
        <v>2.25</v>
      </c>
      <c r="I19" t="s">
        <v>19</v>
      </c>
      <c r="J19">
        <v>54</v>
      </c>
      <c r="K19">
        <v>0</v>
      </c>
      <c r="L19">
        <v>5</v>
      </c>
      <c r="M19">
        <v>4.3</v>
      </c>
      <c r="N19">
        <v>9</v>
      </c>
    </row>
    <row r="20" spans="1:14">
      <c r="A20" t="s">
        <v>220</v>
      </c>
      <c r="B20" s="3">
        <v>46212</v>
      </c>
      <c r="C20" t="s">
        <v>221</v>
      </c>
      <c r="D20" t="s">
        <v>37</v>
      </c>
      <c r="E20" t="s">
        <v>120</v>
      </c>
      <c r="F20" t="s">
        <v>50</v>
      </c>
      <c r="G20">
        <v>1</v>
      </c>
      <c r="H20">
        <v>2.25</v>
      </c>
      <c r="I20" t="s">
        <v>19</v>
      </c>
      <c r="J20">
        <v>12</v>
      </c>
      <c r="K20">
        <v>0</v>
      </c>
      <c r="L20">
        <v>7</v>
      </c>
      <c r="M20">
        <v>2.2999999999999998</v>
      </c>
      <c r="N20">
        <v>2.25</v>
      </c>
    </row>
    <row r="21" spans="1:14">
      <c r="A21" t="s">
        <v>223</v>
      </c>
      <c r="B21" s="3">
        <v>46194</v>
      </c>
      <c r="C21" t="s">
        <v>224</v>
      </c>
      <c r="D21" t="s">
        <v>27</v>
      </c>
      <c r="E21" t="s">
        <v>120</v>
      </c>
      <c r="F21" t="s">
        <v>50</v>
      </c>
      <c r="G21">
        <v>1</v>
      </c>
      <c r="H21">
        <v>2.25</v>
      </c>
      <c r="I21" t="s">
        <v>19</v>
      </c>
      <c r="J21">
        <v>47</v>
      </c>
      <c r="K21">
        <v>0</v>
      </c>
      <c r="L21">
        <v>7</v>
      </c>
      <c r="M21">
        <v>4.4000000000000004</v>
      </c>
      <c r="N21">
        <v>2.25</v>
      </c>
    </row>
    <row r="22" spans="1:14">
      <c r="A22" t="s">
        <v>227</v>
      </c>
      <c r="B22" s="3">
        <v>46236</v>
      </c>
      <c r="C22" t="s">
        <v>110</v>
      </c>
      <c r="D22" t="s">
        <v>27</v>
      </c>
      <c r="E22" t="s">
        <v>49</v>
      </c>
      <c r="F22" t="s">
        <v>50</v>
      </c>
      <c r="G22">
        <v>1</v>
      </c>
      <c r="H22">
        <v>3.36</v>
      </c>
      <c r="I22" t="s">
        <v>30</v>
      </c>
      <c r="J22">
        <v>31</v>
      </c>
      <c r="K22">
        <v>0</v>
      </c>
      <c r="L22">
        <v>9</v>
      </c>
      <c r="M22">
        <v>3.3</v>
      </c>
      <c r="N22">
        <v>3.36</v>
      </c>
    </row>
    <row r="23" spans="1:14">
      <c r="A23" t="s">
        <v>228</v>
      </c>
      <c r="B23" s="3">
        <v>46253</v>
      </c>
      <c r="C23" t="s">
        <v>168</v>
      </c>
      <c r="D23" t="s">
        <v>16</v>
      </c>
      <c r="E23" t="s">
        <v>120</v>
      </c>
      <c r="F23" t="s">
        <v>50</v>
      </c>
      <c r="G23">
        <v>2</v>
      </c>
      <c r="H23">
        <v>2.25</v>
      </c>
      <c r="I23" t="s">
        <v>19</v>
      </c>
      <c r="J23">
        <v>35</v>
      </c>
      <c r="K23">
        <v>0</v>
      </c>
      <c r="L23">
        <v>6</v>
      </c>
      <c r="M23">
        <v>4.5999999999999996</v>
      </c>
      <c r="N23">
        <v>4.5</v>
      </c>
    </row>
    <row r="24" spans="1:14">
      <c r="A24" t="s">
        <v>233</v>
      </c>
      <c r="B24" s="3">
        <v>46231</v>
      </c>
      <c r="C24" t="s">
        <v>84</v>
      </c>
      <c r="D24" t="s">
        <v>22</v>
      </c>
      <c r="E24" t="s">
        <v>49</v>
      </c>
      <c r="F24" t="s">
        <v>50</v>
      </c>
      <c r="G24">
        <v>2</v>
      </c>
      <c r="H24">
        <v>3.95</v>
      </c>
      <c r="I24" t="s">
        <v>19</v>
      </c>
      <c r="J24">
        <v>3</v>
      </c>
      <c r="K24">
        <v>0</v>
      </c>
      <c r="L24">
        <v>7</v>
      </c>
      <c r="M24">
        <v>2.2999999999999998</v>
      </c>
      <c r="N24">
        <v>7.9</v>
      </c>
    </row>
    <row r="25" spans="1:14">
      <c r="A25" t="s">
        <v>236</v>
      </c>
      <c r="B25" s="3">
        <v>46192</v>
      </c>
      <c r="C25" t="s">
        <v>215</v>
      </c>
      <c r="D25" t="s">
        <v>72</v>
      </c>
      <c r="E25" t="s">
        <v>120</v>
      </c>
      <c r="F25" t="s">
        <v>50</v>
      </c>
      <c r="G25">
        <v>2</v>
      </c>
      <c r="H25">
        <v>1.91</v>
      </c>
      <c r="I25" t="s">
        <v>30</v>
      </c>
      <c r="J25">
        <v>38</v>
      </c>
      <c r="K25">
        <v>1</v>
      </c>
      <c r="L25">
        <v>6</v>
      </c>
      <c r="M25">
        <v>4.8</v>
      </c>
      <c r="N25">
        <v>3.82</v>
      </c>
    </row>
    <row r="26" spans="1:14">
      <c r="A26" t="s">
        <v>246</v>
      </c>
      <c r="B26" s="3">
        <v>46226</v>
      </c>
      <c r="C26" t="s">
        <v>247</v>
      </c>
      <c r="D26" t="s">
        <v>37</v>
      </c>
      <c r="E26" t="s">
        <v>120</v>
      </c>
      <c r="F26" t="s">
        <v>50</v>
      </c>
      <c r="G26">
        <v>1</v>
      </c>
      <c r="H26">
        <v>1.91</v>
      </c>
      <c r="I26" t="s">
        <v>30</v>
      </c>
      <c r="J26">
        <v>12</v>
      </c>
      <c r="K26">
        <v>0</v>
      </c>
      <c r="L26">
        <v>7</v>
      </c>
      <c r="M26">
        <v>5</v>
      </c>
      <c r="N26">
        <v>1.91</v>
      </c>
    </row>
    <row r="27" spans="1:14">
      <c r="A27" t="s">
        <v>252</v>
      </c>
      <c r="B27" s="3">
        <v>46179</v>
      </c>
      <c r="C27" t="s">
        <v>93</v>
      </c>
      <c r="D27" t="s">
        <v>66</v>
      </c>
      <c r="E27" t="s">
        <v>49</v>
      </c>
      <c r="F27" t="s">
        <v>50</v>
      </c>
      <c r="G27">
        <v>3</v>
      </c>
      <c r="H27">
        <v>3.95</v>
      </c>
      <c r="I27" t="s">
        <v>19</v>
      </c>
      <c r="J27">
        <v>44</v>
      </c>
      <c r="K27">
        <v>0</v>
      </c>
      <c r="L27">
        <v>9</v>
      </c>
      <c r="M27">
        <v>4.5</v>
      </c>
      <c r="N27">
        <v>11.850000000000001</v>
      </c>
    </row>
    <row r="28" spans="1:14">
      <c r="A28" t="s">
        <v>257</v>
      </c>
      <c r="B28" s="3">
        <v>46216</v>
      </c>
      <c r="C28" t="s">
        <v>258</v>
      </c>
      <c r="D28" t="s">
        <v>33</v>
      </c>
      <c r="E28" t="s">
        <v>49</v>
      </c>
      <c r="F28" t="s">
        <v>50</v>
      </c>
      <c r="G28">
        <v>1</v>
      </c>
      <c r="H28">
        <v>3.95</v>
      </c>
      <c r="I28" t="s">
        <v>19</v>
      </c>
      <c r="J28">
        <v>27</v>
      </c>
      <c r="K28">
        <v>0</v>
      </c>
      <c r="L28">
        <v>5</v>
      </c>
      <c r="M28">
        <v>4.2</v>
      </c>
      <c r="N28">
        <v>3.95</v>
      </c>
    </row>
    <row r="29" spans="1:14">
      <c r="A29" t="s">
        <v>270</v>
      </c>
      <c r="B29" s="3">
        <v>46176</v>
      </c>
      <c r="C29" t="s">
        <v>207</v>
      </c>
      <c r="D29" t="s">
        <v>16</v>
      </c>
      <c r="E29" t="s">
        <v>120</v>
      </c>
      <c r="F29" t="s">
        <v>50</v>
      </c>
      <c r="G29">
        <v>2</v>
      </c>
      <c r="H29">
        <v>1.91</v>
      </c>
      <c r="I29" t="s">
        <v>30</v>
      </c>
      <c r="J29">
        <v>11</v>
      </c>
      <c r="K29">
        <v>0</v>
      </c>
      <c r="L29">
        <v>4</v>
      </c>
      <c r="M29">
        <v>2.8</v>
      </c>
      <c r="N29">
        <v>3.82</v>
      </c>
    </row>
    <row r="30" spans="1:14">
      <c r="A30" t="s">
        <v>278</v>
      </c>
      <c r="B30" s="3">
        <v>46191</v>
      </c>
      <c r="C30" t="s">
        <v>204</v>
      </c>
      <c r="D30" t="s">
        <v>37</v>
      </c>
      <c r="E30" t="s">
        <v>120</v>
      </c>
      <c r="F30" t="s">
        <v>50</v>
      </c>
      <c r="G30">
        <v>3</v>
      </c>
      <c r="H30">
        <v>2.25</v>
      </c>
      <c r="I30" t="s">
        <v>19</v>
      </c>
      <c r="J30">
        <v>19</v>
      </c>
      <c r="K30">
        <v>0</v>
      </c>
      <c r="L30">
        <v>4</v>
      </c>
      <c r="M30">
        <v>3.7</v>
      </c>
      <c r="N30">
        <v>6.75</v>
      </c>
    </row>
    <row r="31" spans="1:14">
      <c r="A31" t="s">
        <v>281</v>
      </c>
      <c r="B31" s="3">
        <v>46214</v>
      </c>
      <c r="C31" t="s">
        <v>189</v>
      </c>
      <c r="D31" t="s">
        <v>66</v>
      </c>
      <c r="E31" t="s">
        <v>63</v>
      </c>
      <c r="F31" t="s">
        <v>50</v>
      </c>
      <c r="G31">
        <v>1</v>
      </c>
      <c r="H31">
        <v>3.49</v>
      </c>
      <c r="I31" t="s">
        <v>19</v>
      </c>
      <c r="J31">
        <v>39</v>
      </c>
      <c r="K31">
        <v>0</v>
      </c>
      <c r="L31">
        <v>7</v>
      </c>
      <c r="M31">
        <v>4.4000000000000004</v>
      </c>
      <c r="N31">
        <v>3.49</v>
      </c>
    </row>
    <row r="32" spans="1:14">
      <c r="A32" t="s">
        <v>282</v>
      </c>
      <c r="B32" s="3">
        <v>46243</v>
      </c>
      <c r="C32" t="s">
        <v>77</v>
      </c>
      <c r="D32" t="s">
        <v>27</v>
      </c>
      <c r="E32" t="s">
        <v>120</v>
      </c>
      <c r="F32" t="s">
        <v>50</v>
      </c>
      <c r="G32">
        <v>2</v>
      </c>
      <c r="H32">
        <v>1.91</v>
      </c>
      <c r="I32" t="s">
        <v>30</v>
      </c>
      <c r="J32">
        <v>37</v>
      </c>
      <c r="K32">
        <v>0</v>
      </c>
      <c r="L32">
        <v>7</v>
      </c>
      <c r="M32">
        <v>5.0999999999999996</v>
      </c>
      <c r="N32">
        <v>3.82</v>
      </c>
    </row>
    <row r="33" spans="1:14">
      <c r="A33" t="s">
        <v>286</v>
      </c>
      <c r="B33" s="3">
        <v>46231</v>
      </c>
      <c r="C33" t="s">
        <v>89</v>
      </c>
      <c r="D33" t="s">
        <v>22</v>
      </c>
      <c r="E33" t="s">
        <v>63</v>
      </c>
      <c r="F33" t="s">
        <v>50</v>
      </c>
      <c r="G33">
        <v>1</v>
      </c>
      <c r="H33">
        <v>3.49</v>
      </c>
      <c r="I33" t="s">
        <v>19</v>
      </c>
      <c r="J33">
        <v>47</v>
      </c>
      <c r="K33">
        <v>0</v>
      </c>
      <c r="L33">
        <v>4</v>
      </c>
      <c r="M33">
        <v>3.2</v>
      </c>
      <c r="N33">
        <v>3.49</v>
      </c>
    </row>
    <row r="34" spans="1:14">
      <c r="A34" t="s">
        <v>287</v>
      </c>
      <c r="B34" s="3">
        <v>46256</v>
      </c>
      <c r="C34" t="s">
        <v>267</v>
      </c>
      <c r="D34" t="s">
        <v>66</v>
      </c>
      <c r="E34" t="s">
        <v>63</v>
      </c>
      <c r="F34" t="s">
        <v>50</v>
      </c>
      <c r="G34">
        <v>1</v>
      </c>
      <c r="H34">
        <v>3.49</v>
      </c>
      <c r="I34" t="s">
        <v>19</v>
      </c>
      <c r="J34">
        <v>27</v>
      </c>
      <c r="K34">
        <v>0</v>
      </c>
      <c r="L34">
        <v>7</v>
      </c>
      <c r="M34">
        <v>5.3</v>
      </c>
      <c r="N34">
        <v>3.49</v>
      </c>
    </row>
    <row r="35" spans="1:14">
      <c r="A35" t="s">
        <v>290</v>
      </c>
      <c r="B35" s="3">
        <v>46256</v>
      </c>
      <c r="C35" t="s">
        <v>103</v>
      </c>
      <c r="D35" t="s">
        <v>66</v>
      </c>
      <c r="E35" t="s">
        <v>49</v>
      </c>
      <c r="F35" t="s">
        <v>50</v>
      </c>
      <c r="G35">
        <v>3</v>
      </c>
      <c r="H35">
        <v>3.95</v>
      </c>
      <c r="I35" t="s">
        <v>19</v>
      </c>
      <c r="J35">
        <v>16</v>
      </c>
      <c r="K35">
        <v>0</v>
      </c>
      <c r="L35">
        <v>7</v>
      </c>
      <c r="M35">
        <v>2</v>
      </c>
      <c r="N35">
        <v>11.850000000000001</v>
      </c>
    </row>
    <row r="36" spans="1:14">
      <c r="A36" t="s">
        <v>313</v>
      </c>
      <c r="B36" s="3">
        <v>46220</v>
      </c>
      <c r="C36" t="s">
        <v>314</v>
      </c>
      <c r="D36" t="s">
        <v>72</v>
      </c>
      <c r="E36" t="s">
        <v>120</v>
      </c>
      <c r="F36" t="s">
        <v>50</v>
      </c>
      <c r="G36">
        <v>1</v>
      </c>
      <c r="H36">
        <v>2.25</v>
      </c>
      <c r="I36" t="s">
        <v>19</v>
      </c>
      <c r="J36">
        <v>38</v>
      </c>
      <c r="K36">
        <v>1</v>
      </c>
      <c r="L36">
        <v>5</v>
      </c>
      <c r="M36">
        <v>2.8</v>
      </c>
      <c r="N36">
        <v>2.25</v>
      </c>
    </row>
    <row r="37" spans="1:14">
      <c r="A37" t="s">
        <v>316</v>
      </c>
      <c r="B37" s="3">
        <v>46211</v>
      </c>
      <c r="C37" t="s">
        <v>144</v>
      </c>
      <c r="D37" t="s">
        <v>16</v>
      </c>
      <c r="E37" t="s">
        <v>49</v>
      </c>
      <c r="F37" t="s">
        <v>50</v>
      </c>
      <c r="G37">
        <v>4</v>
      </c>
      <c r="H37">
        <v>3.36</v>
      </c>
      <c r="I37" t="s">
        <v>30</v>
      </c>
      <c r="J37">
        <v>59</v>
      </c>
      <c r="K37">
        <v>0</v>
      </c>
      <c r="L37">
        <v>8</v>
      </c>
      <c r="M37">
        <v>5</v>
      </c>
      <c r="N37">
        <v>13.44</v>
      </c>
    </row>
    <row r="38" spans="1:14">
      <c r="A38" t="s">
        <v>336</v>
      </c>
      <c r="B38" s="3">
        <v>46181</v>
      </c>
      <c r="C38" t="s">
        <v>241</v>
      </c>
      <c r="D38" t="s">
        <v>33</v>
      </c>
      <c r="E38" t="s">
        <v>120</v>
      </c>
      <c r="F38" t="s">
        <v>50</v>
      </c>
      <c r="G38">
        <v>2</v>
      </c>
      <c r="H38">
        <v>2.25</v>
      </c>
      <c r="I38" t="s">
        <v>19</v>
      </c>
      <c r="J38">
        <v>32</v>
      </c>
      <c r="K38">
        <v>0</v>
      </c>
      <c r="L38">
        <v>5</v>
      </c>
      <c r="M38">
        <v>3.8</v>
      </c>
      <c r="N38">
        <v>4.5</v>
      </c>
    </row>
    <row r="39" spans="1:14">
      <c r="A39" t="s">
        <v>341</v>
      </c>
      <c r="B39" s="3">
        <v>46240</v>
      </c>
      <c r="C39" t="s">
        <v>204</v>
      </c>
      <c r="D39" t="s">
        <v>37</v>
      </c>
      <c r="E39" t="s">
        <v>63</v>
      </c>
      <c r="F39" t="s">
        <v>50</v>
      </c>
      <c r="G39">
        <v>2</v>
      </c>
      <c r="H39">
        <v>3.49</v>
      </c>
      <c r="I39" t="s">
        <v>19</v>
      </c>
      <c r="J39">
        <v>48</v>
      </c>
      <c r="K39">
        <v>0</v>
      </c>
      <c r="L39">
        <v>6</v>
      </c>
      <c r="M39">
        <v>2.7</v>
      </c>
      <c r="N39">
        <v>6.98</v>
      </c>
    </row>
    <row r="40" spans="1:14">
      <c r="A40" t="s">
        <v>342</v>
      </c>
      <c r="B40" s="3">
        <v>46202</v>
      </c>
      <c r="C40" t="s">
        <v>77</v>
      </c>
      <c r="D40" t="s">
        <v>33</v>
      </c>
      <c r="E40" t="s">
        <v>120</v>
      </c>
      <c r="F40" t="s">
        <v>50</v>
      </c>
      <c r="G40">
        <v>1</v>
      </c>
      <c r="H40">
        <v>1.91</v>
      </c>
      <c r="I40" t="s">
        <v>30</v>
      </c>
      <c r="J40">
        <v>53</v>
      </c>
      <c r="K40">
        <v>0</v>
      </c>
      <c r="L40">
        <v>8</v>
      </c>
      <c r="M40">
        <v>4.2</v>
      </c>
      <c r="N40">
        <v>1.91</v>
      </c>
    </row>
    <row r="41" spans="1:14">
      <c r="A41" t="s">
        <v>346</v>
      </c>
      <c r="B41" s="3">
        <v>46193</v>
      </c>
      <c r="C41" t="s">
        <v>347</v>
      </c>
      <c r="D41" t="s">
        <v>66</v>
      </c>
      <c r="E41" t="s">
        <v>120</v>
      </c>
      <c r="F41" t="s">
        <v>50</v>
      </c>
      <c r="G41">
        <v>2</v>
      </c>
      <c r="H41">
        <v>2.25</v>
      </c>
      <c r="I41" t="s">
        <v>19</v>
      </c>
      <c r="J41">
        <v>55</v>
      </c>
      <c r="K41">
        <v>0</v>
      </c>
      <c r="L41">
        <v>6</v>
      </c>
      <c r="M41">
        <v>3.7</v>
      </c>
      <c r="N41">
        <v>4.5</v>
      </c>
    </row>
    <row r="42" spans="1:14">
      <c r="A42" t="s">
        <v>352</v>
      </c>
      <c r="B42" s="3">
        <v>46260</v>
      </c>
      <c r="C42" t="s">
        <v>258</v>
      </c>
      <c r="D42" t="s">
        <v>16</v>
      </c>
      <c r="E42" t="s">
        <v>120</v>
      </c>
      <c r="F42" t="s">
        <v>50</v>
      </c>
      <c r="G42">
        <v>2</v>
      </c>
      <c r="H42">
        <v>2.25</v>
      </c>
      <c r="I42" t="s">
        <v>19</v>
      </c>
      <c r="J42">
        <v>14</v>
      </c>
      <c r="K42">
        <v>0</v>
      </c>
      <c r="L42">
        <v>7</v>
      </c>
      <c r="M42">
        <v>1.9</v>
      </c>
      <c r="N42">
        <v>4.5</v>
      </c>
    </row>
    <row r="43" spans="1:14">
      <c r="A43" t="s">
        <v>353</v>
      </c>
      <c r="B43" s="3">
        <v>46192</v>
      </c>
      <c r="C43" t="s">
        <v>318</v>
      </c>
      <c r="D43" t="s">
        <v>72</v>
      </c>
      <c r="E43" t="s">
        <v>49</v>
      </c>
      <c r="F43" t="s">
        <v>50</v>
      </c>
      <c r="G43">
        <v>1</v>
      </c>
      <c r="H43">
        <v>3.95</v>
      </c>
      <c r="I43" t="s">
        <v>19</v>
      </c>
      <c r="J43">
        <v>14</v>
      </c>
      <c r="K43">
        <v>0</v>
      </c>
      <c r="L43">
        <v>7</v>
      </c>
      <c r="M43">
        <v>5.5</v>
      </c>
      <c r="N43">
        <v>3.95</v>
      </c>
    </row>
    <row r="44" spans="1:14">
      <c r="A44" t="s">
        <v>356</v>
      </c>
      <c r="B44" s="3">
        <v>46195</v>
      </c>
      <c r="C44" t="s">
        <v>154</v>
      </c>
      <c r="D44" t="s">
        <v>33</v>
      </c>
      <c r="E44" t="s">
        <v>49</v>
      </c>
      <c r="F44" t="s">
        <v>50</v>
      </c>
      <c r="G44">
        <v>4</v>
      </c>
      <c r="H44">
        <v>3.95</v>
      </c>
      <c r="I44" t="s">
        <v>19</v>
      </c>
      <c r="J44">
        <v>53</v>
      </c>
      <c r="K44">
        <v>1</v>
      </c>
      <c r="L44">
        <v>6</v>
      </c>
      <c r="M44">
        <v>1.9</v>
      </c>
      <c r="N44">
        <v>15.8</v>
      </c>
    </row>
    <row r="45" spans="1:14">
      <c r="A45" t="s">
        <v>370</v>
      </c>
      <c r="B45" s="3">
        <v>46237</v>
      </c>
      <c r="C45" t="s">
        <v>15</v>
      </c>
      <c r="D45" t="s">
        <v>33</v>
      </c>
      <c r="E45" t="s">
        <v>120</v>
      </c>
      <c r="F45" t="s">
        <v>50</v>
      </c>
      <c r="G45">
        <v>2</v>
      </c>
      <c r="H45">
        <v>2.25</v>
      </c>
      <c r="I45" t="s">
        <v>19</v>
      </c>
      <c r="J45">
        <v>34</v>
      </c>
      <c r="K45">
        <v>0</v>
      </c>
      <c r="L45">
        <v>6</v>
      </c>
      <c r="M45">
        <v>2.6</v>
      </c>
      <c r="N45">
        <v>4.5</v>
      </c>
    </row>
    <row r="46" spans="1:14">
      <c r="A46" t="s">
        <v>377</v>
      </c>
      <c r="B46" s="3">
        <v>46257</v>
      </c>
      <c r="C46" t="s">
        <v>305</v>
      </c>
      <c r="D46" t="s">
        <v>27</v>
      </c>
      <c r="E46" t="s">
        <v>49</v>
      </c>
      <c r="F46" t="s">
        <v>50</v>
      </c>
      <c r="G46">
        <v>1</v>
      </c>
      <c r="H46">
        <v>3.95</v>
      </c>
      <c r="I46" t="s">
        <v>19</v>
      </c>
      <c r="J46">
        <v>21</v>
      </c>
      <c r="K46">
        <v>0</v>
      </c>
      <c r="L46">
        <v>7</v>
      </c>
      <c r="M46">
        <v>4.5999999999999996</v>
      </c>
      <c r="N46">
        <v>3.95</v>
      </c>
    </row>
    <row r="47" spans="1:14">
      <c r="A47" t="s">
        <v>378</v>
      </c>
      <c r="B47" s="3">
        <v>46179</v>
      </c>
      <c r="C47" t="s">
        <v>41</v>
      </c>
      <c r="D47" t="s">
        <v>66</v>
      </c>
      <c r="E47" t="s">
        <v>49</v>
      </c>
      <c r="F47" t="s">
        <v>50</v>
      </c>
      <c r="G47">
        <v>1</v>
      </c>
      <c r="H47">
        <v>3.95</v>
      </c>
      <c r="I47" t="s">
        <v>19</v>
      </c>
      <c r="J47">
        <v>23</v>
      </c>
      <c r="K47">
        <v>0</v>
      </c>
      <c r="L47">
        <v>5</v>
      </c>
      <c r="M47">
        <v>5</v>
      </c>
      <c r="N47">
        <v>3.95</v>
      </c>
    </row>
    <row r="48" spans="1:14">
      <c r="A48" t="s">
        <v>384</v>
      </c>
      <c r="B48" s="3">
        <v>46212</v>
      </c>
      <c r="C48" t="s">
        <v>347</v>
      </c>
      <c r="D48" t="s">
        <v>37</v>
      </c>
      <c r="E48" t="s">
        <v>120</v>
      </c>
      <c r="F48" t="s">
        <v>50</v>
      </c>
      <c r="G48">
        <v>4</v>
      </c>
      <c r="H48">
        <v>2.25</v>
      </c>
      <c r="I48" t="s">
        <v>19</v>
      </c>
      <c r="J48">
        <v>33</v>
      </c>
      <c r="K48">
        <v>0</v>
      </c>
      <c r="L48">
        <v>7</v>
      </c>
      <c r="M48">
        <v>4.4000000000000004</v>
      </c>
      <c r="N48">
        <v>9</v>
      </c>
    </row>
    <row r="49" spans="1:14">
      <c r="A49" t="s">
        <v>385</v>
      </c>
      <c r="B49" s="3">
        <v>46199</v>
      </c>
      <c r="C49" t="s">
        <v>108</v>
      </c>
      <c r="D49" t="s">
        <v>72</v>
      </c>
      <c r="E49" t="s">
        <v>63</v>
      </c>
      <c r="F49" t="s">
        <v>50</v>
      </c>
      <c r="G49">
        <v>1</v>
      </c>
      <c r="H49">
        <v>3.49</v>
      </c>
      <c r="I49" t="s">
        <v>19</v>
      </c>
      <c r="J49">
        <v>19</v>
      </c>
      <c r="K49">
        <v>0</v>
      </c>
      <c r="L49">
        <v>4</v>
      </c>
      <c r="M49">
        <v>4.0999999999999996</v>
      </c>
      <c r="N49">
        <v>3.49</v>
      </c>
    </row>
    <row r="50" spans="1:14">
      <c r="A50" t="s">
        <v>405</v>
      </c>
      <c r="B50" s="3">
        <v>46202</v>
      </c>
      <c r="C50" t="s">
        <v>150</v>
      </c>
      <c r="D50" t="s">
        <v>33</v>
      </c>
      <c r="E50" t="s">
        <v>49</v>
      </c>
      <c r="F50" t="s">
        <v>50</v>
      </c>
      <c r="G50">
        <v>1</v>
      </c>
      <c r="H50">
        <v>3.36</v>
      </c>
      <c r="I50" t="s">
        <v>30</v>
      </c>
      <c r="J50">
        <v>3</v>
      </c>
      <c r="K50">
        <v>0</v>
      </c>
      <c r="L50">
        <v>6</v>
      </c>
      <c r="M50">
        <v>1.9</v>
      </c>
      <c r="N50">
        <v>3.36</v>
      </c>
    </row>
    <row r="51" spans="1:14">
      <c r="A51" t="s">
        <v>408</v>
      </c>
      <c r="B51" s="3">
        <v>46212</v>
      </c>
      <c r="C51" t="s">
        <v>409</v>
      </c>
      <c r="D51" t="s">
        <v>37</v>
      </c>
      <c r="E51" t="s">
        <v>63</v>
      </c>
      <c r="F51" t="s">
        <v>50</v>
      </c>
      <c r="G51">
        <v>1</v>
      </c>
      <c r="H51">
        <v>3.49</v>
      </c>
      <c r="I51" t="s">
        <v>19</v>
      </c>
      <c r="J51">
        <v>37</v>
      </c>
      <c r="K51">
        <v>0</v>
      </c>
      <c r="L51">
        <v>7</v>
      </c>
      <c r="M51">
        <v>1.1000000000000001</v>
      </c>
      <c r="N51">
        <v>3.49</v>
      </c>
    </row>
    <row r="52" spans="1:14">
      <c r="A52" t="s">
        <v>412</v>
      </c>
      <c r="B52" s="3">
        <v>46233</v>
      </c>
      <c r="C52" t="s">
        <v>59</v>
      </c>
      <c r="D52" t="s">
        <v>37</v>
      </c>
      <c r="E52" t="s">
        <v>49</v>
      </c>
      <c r="F52" t="s">
        <v>50</v>
      </c>
      <c r="G52">
        <v>2</v>
      </c>
      <c r="H52">
        <v>3.36</v>
      </c>
      <c r="I52" t="s">
        <v>30</v>
      </c>
      <c r="J52">
        <v>22</v>
      </c>
      <c r="K52">
        <v>0</v>
      </c>
      <c r="L52">
        <v>8</v>
      </c>
      <c r="M52">
        <v>3.8</v>
      </c>
      <c r="N52">
        <v>6.72</v>
      </c>
    </row>
    <row r="53" spans="1:14">
      <c r="A53" t="s">
        <v>425</v>
      </c>
      <c r="B53" s="3">
        <v>46239</v>
      </c>
      <c r="C53" t="s">
        <v>54</v>
      </c>
      <c r="D53" t="s">
        <v>16</v>
      </c>
      <c r="E53" t="s">
        <v>120</v>
      </c>
      <c r="F53" t="s">
        <v>50</v>
      </c>
      <c r="G53">
        <v>1</v>
      </c>
      <c r="H53">
        <v>2.25</v>
      </c>
      <c r="I53" t="s">
        <v>19</v>
      </c>
      <c r="J53">
        <v>7</v>
      </c>
      <c r="K53">
        <v>0</v>
      </c>
      <c r="L53">
        <v>4</v>
      </c>
      <c r="M53">
        <v>3.6</v>
      </c>
      <c r="N53">
        <v>2.25</v>
      </c>
    </row>
    <row r="54" spans="1:14">
      <c r="A54" t="s">
        <v>428</v>
      </c>
      <c r="B54" s="3">
        <v>46193</v>
      </c>
      <c r="C54" t="s">
        <v>189</v>
      </c>
      <c r="D54" t="s">
        <v>66</v>
      </c>
      <c r="E54" t="s">
        <v>63</v>
      </c>
      <c r="F54" t="s">
        <v>50</v>
      </c>
      <c r="G54">
        <v>2</v>
      </c>
      <c r="H54">
        <v>3.49</v>
      </c>
      <c r="I54" t="s">
        <v>19</v>
      </c>
      <c r="J54">
        <v>34</v>
      </c>
      <c r="K54">
        <v>0</v>
      </c>
      <c r="L54">
        <v>9</v>
      </c>
      <c r="M54">
        <v>5</v>
      </c>
      <c r="N54">
        <v>6.98</v>
      </c>
    </row>
    <row r="55" spans="1:14">
      <c r="A55" t="s">
        <v>432</v>
      </c>
      <c r="B55" s="3">
        <v>46255</v>
      </c>
      <c r="C55" t="s">
        <v>433</v>
      </c>
      <c r="D55" t="s">
        <v>72</v>
      </c>
      <c r="E55" t="s">
        <v>63</v>
      </c>
      <c r="F55" t="s">
        <v>50</v>
      </c>
      <c r="G55">
        <v>3</v>
      </c>
      <c r="H55">
        <v>3.49</v>
      </c>
      <c r="I55" t="s">
        <v>19</v>
      </c>
      <c r="J55">
        <v>16</v>
      </c>
      <c r="K55">
        <v>0</v>
      </c>
      <c r="L55">
        <v>5</v>
      </c>
      <c r="M55">
        <v>3</v>
      </c>
      <c r="N55">
        <v>10.47</v>
      </c>
    </row>
    <row r="56" spans="1:14">
      <c r="A56" t="s">
        <v>434</v>
      </c>
      <c r="B56" s="3">
        <v>46190</v>
      </c>
      <c r="C56" t="s">
        <v>244</v>
      </c>
      <c r="D56" t="s">
        <v>16</v>
      </c>
      <c r="E56" t="s">
        <v>63</v>
      </c>
      <c r="F56" t="s">
        <v>50</v>
      </c>
      <c r="G56">
        <v>1</v>
      </c>
      <c r="H56">
        <v>2.97</v>
      </c>
      <c r="I56" t="s">
        <v>30</v>
      </c>
      <c r="J56">
        <v>46</v>
      </c>
      <c r="K56">
        <v>0</v>
      </c>
      <c r="L56">
        <v>4</v>
      </c>
      <c r="M56">
        <v>3.2</v>
      </c>
      <c r="N56">
        <v>2.97</v>
      </c>
    </row>
    <row r="57" spans="1:14">
      <c r="A57" t="s">
        <v>437</v>
      </c>
      <c r="B57" s="3">
        <v>46201</v>
      </c>
      <c r="C57" t="s">
        <v>41</v>
      </c>
      <c r="D57" t="s">
        <v>27</v>
      </c>
      <c r="E57" t="s">
        <v>63</v>
      </c>
      <c r="F57" t="s">
        <v>50</v>
      </c>
      <c r="G57">
        <v>4</v>
      </c>
      <c r="H57">
        <v>3.49</v>
      </c>
      <c r="I57" t="s">
        <v>19</v>
      </c>
      <c r="J57">
        <v>49</v>
      </c>
      <c r="K57">
        <v>0</v>
      </c>
      <c r="L57">
        <v>6</v>
      </c>
      <c r="M57">
        <v>2.2999999999999998</v>
      </c>
      <c r="N57">
        <v>13.96</v>
      </c>
    </row>
    <row r="58" spans="1:14">
      <c r="A58" t="s">
        <v>438</v>
      </c>
      <c r="B58" s="3">
        <v>46258</v>
      </c>
      <c r="C58" t="s">
        <v>433</v>
      </c>
      <c r="D58" t="s">
        <v>33</v>
      </c>
      <c r="E58" t="s">
        <v>63</v>
      </c>
      <c r="F58" t="s">
        <v>50</v>
      </c>
      <c r="G58">
        <v>3</v>
      </c>
      <c r="H58">
        <v>3.49</v>
      </c>
      <c r="I58" t="s">
        <v>19</v>
      </c>
      <c r="J58">
        <v>51</v>
      </c>
      <c r="K58">
        <v>0</v>
      </c>
      <c r="L58">
        <v>7</v>
      </c>
      <c r="M58">
        <v>2.9</v>
      </c>
      <c r="N58">
        <v>10.47</v>
      </c>
    </row>
    <row r="59" spans="1:14">
      <c r="A59" t="s">
        <v>448</v>
      </c>
      <c r="B59" s="3">
        <v>46190</v>
      </c>
      <c r="C59" t="s">
        <v>59</v>
      </c>
      <c r="D59" t="s">
        <v>16</v>
      </c>
      <c r="E59" t="s">
        <v>120</v>
      </c>
      <c r="F59" t="s">
        <v>50</v>
      </c>
      <c r="G59">
        <v>1</v>
      </c>
      <c r="H59">
        <v>2.25</v>
      </c>
      <c r="I59" t="s">
        <v>19</v>
      </c>
      <c r="J59">
        <v>53</v>
      </c>
      <c r="K59">
        <v>0</v>
      </c>
      <c r="L59">
        <v>6</v>
      </c>
      <c r="M59">
        <v>6.3</v>
      </c>
      <c r="N59">
        <v>2.25</v>
      </c>
    </row>
    <row r="60" spans="1:14">
      <c r="A60" t="s">
        <v>454</v>
      </c>
      <c r="B60" s="3">
        <v>46204</v>
      </c>
      <c r="C60" t="s">
        <v>213</v>
      </c>
      <c r="D60" t="s">
        <v>16</v>
      </c>
      <c r="E60" t="s">
        <v>49</v>
      </c>
      <c r="F60" t="s">
        <v>50</v>
      </c>
      <c r="G60">
        <v>1</v>
      </c>
      <c r="H60">
        <v>3.36</v>
      </c>
      <c r="I60" t="s">
        <v>30</v>
      </c>
      <c r="J60">
        <v>9</v>
      </c>
      <c r="K60">
        <v>0</v>
      </c>
      <c r="L60">
        <v>6</v>
      </c>
      <c r="M60">
        <v>2</v>
      </c>
      <c r="N60">
        <v>3.36</v>
      </c>
    </row>
    <row r="61" spans="1:14">
      <c r="A61" t="s">
        <v>476</v>
      </c>
      <c r="B61" s="3">
        <v>46199</v>
      </c>
      <c r="C61" t="s">
        <v>300</v>
      </c>
      <c r="D61" t="s">
        <v>72</v>
      </c>
      <c r="E61" t="s">
        <v>120</v>
      </c>
      <c r="F61" t="s">
        <v>50</v>
      </c>
      <c r="G61">
        <v>1</v>
      </c>
      <c r="H61">
        <v>2.25</v>
      </c>
      <c r="I61" t="s">
        <v>19</v>
      </c>
      <c r="J61">
        <v>39</v>
      </c>
      <c r="K61">
        <v>0</v>
      </c>
      <c r="L61">
        <v>7</v>
      </c>
      <c r="M61">
        <v>4.9000000000000004</v>
      </c>
      <c r="N61">
        <v>2.25</v>
      </c>
    </row>
    <row r="62" spans="1:14">
      <c r="A62" t="s">
        <v>486</v>
      </c>
      <c r="B62" s="3">
        <v>46255</v>
      </c>
      <c r="C62" t="s">
        <v>382</v>
      </c>
      <c r="D62" t="s">
        <v>72</v>
      </c>
      <c r="E62" t="s">
        <v>63</v>
      </c>
      <c r="F62" t="s">
        <v>50</v>
      </c>
      <c r="G62">
        <v>3</v>
      </c>
      <c r="H62">
        <v>2.97</v>
      </c>
      <c r="I62" t="s">
        <v>30</v>
      </c>
      <c r="J62">
        <v>5</v>
      </c>
      <c r="K62">
        <v>0</v>
      </c>
      <c r="L62">
        <v>7</v>
      </c>
      <c r="M62">
        <v>5.7</v>
      </c>
      <c r="N62">
        <v>8.91</v>
      </c>
    </row>
    <row r="63" spans="1:14">
      <c r="A63" t="s">
        <v>490</v>
      </c>
      <c r="B63" s="3">
        <v>46258</v>
      </c>
      <c r="C63" t="s">
        <v>491</v>
      </c>
      <c r="D63" t="s">
        <v>33</v>
      </c>
      <c r="E63" t="s">
        <v>63</v>
      </c>
      <c r="F63" t="s">
        <v>50</v>
      </c>
      <c r="G63">
        <v>3</v>
      </c>
      <c r="H63">
        <v>3.49</v>
      </c>
      <c r="I63" t="s">
        <v>19</v>
      </c>
      <c r="J63">
        <v>37</v>
      </c>
      <c r="K63">
        <v>0</v>
      </c>
      <c r="L63">
        <v>4</v>
      </c>
      <c r="M63">
        <v>4</v>
      </c>
      <c r="N63">
        <v>10.47</v>
      </c>
    </row>
    <row r="64" spans="1:14">
      <c r="A64" t="s">
        <v>494</v>
      </c>
      <c r="B64" s="3">
        <v>46176</v>
      </c>
      <c r="C64" t="s">
        <v>443</v>
      </c>
      <c r="D64" t="s">
        <v>16</v>
      </c>
      <c r="E64" t="s">
        <v>49</v>
      </c>
      <c r="F64" t="s">
        <v>50</v>
      </c>
      <c r="G64">
        <v>2</v>
      </c>
      <c r="H64">
        <v>3.95</v>
      </c>
      <c r="I64" t="s">
        <v>19</v>
      </c>
      <c r="J64">
        <v>3</v>
      </c>
      <c r="K64">
        <v>0</v>
      </c>
      <c r="L64">
        <v>7</v>
      </c>
      <c r="M64">
        <v>4</v>
      </c>
      <c r="N64">
        <v>7.9</v>
      </c>
    </row>
    <row r="65" spans="1:14">
      <c r="A65" t="s">
        <v>499</v>
      </c>
      <c r="B65" s="3">
        <v>46223</v>
      </c>
      <c r="C65" t="s">
        <v>56</v>
      </c>
      <c r="D65" t="s">
        <v>33</v>
      </c>
      <c r="E65" t="s">
        <v>63</v>
      </c>
      <c r="F65" t="s">
        <v>50</v>
      </c>
      <c r="G65">
        <v>3</v>
      </c>
      <c r="H65">
        <v>3.49</v>
      </c>
      <c r="I65" t="s">
        <v>19</v>
      </c>
      <c r="J65">
        <v>32</v>
      </c>
      <c r="K65">
        <v>0</v>
      </c>
      <c r="L65">
        <v>7</v>
      </c>
      <c r="M65">
        <v>3.4</v>
      </c>
      <c r="N65">
        <v>10.47</v>
      </c>
    </row>
    <row r="66" spans="1:14">
      <c r="A66" t="s">
        <v>501</v>
      </c>
      <c r="B66" s="3">
        <v>46263</v>
      </c>
      <c r="C66" t="s">
        <v>305</v>
      </c>
      <c r="D66" t="s">
        <v>66</v>
      </c>
      <c r="E66" t="s">
        <v>63</v>
      </c>
      <c r="F66" t="s">
        <v>50</v>
      </c>
      <c r="G66">
        <v>1</v>
      </c>
      <c r="H66">
        <v>3.49</v>
      </c>
      <c r="I66" t="s">
        <v>19</v>
      </c>
      <c r="J66">
        <v>53</v>
      </c>
      <c r="K66">
        <v>0</v>
      </c>
      <c r="L66">
        <v>6</v>
      </c>
      <c r="M66">
        <v>3</v>
      </c>
      <c r="N66">
        <v>3.49</v>
      </c>
    </row>
    <row r="67" spans="1:14">
      <c r="A67" t="s">
        <v>503</v>
      </c>
      <c r="B67" s="3">
        <v>46228</v>
      </c>
      <c r="C67" t="s">
        <v>355</v>
      </c>
      <c r="D67" t="s">
        <v>66</v>
      </c>
      <c r="E67" t="s">
        <v>63</v>
      </c>
      <c r="F67" t="s">
        <v>50</v>
      </c>
      <c r="G67">
        <v>2</v>
      </c>
      <c r="H67">
        <v>3.49</v>
      </c>
      <c r="I67" t="s">
        <v>19</v>
      </c>
      <c r="J67">
        <v>43</v>
      </c>
      <c r="K67">
        <v>1</v>
      </c>
      <c r="L67">
        <v>7</v>
      </c>
      <c r="M67">
        <v>4.5</v>
      </c>
      <c r="N67">
        <v>6.98</v>
      </c>
    </row>
    <row r="68" spans="1:14">
      <c r="A68" t="s">
        <v>514</v>
      </c>
      <c r="B68" s="3">
        <v>46176</v>
      </c>
      <c r="C68" t="s">
        <v>130</v>
      </c>
      <c r="D68" t="s">
        <v>16</v>
      </c>
      <c r="E68" t="s">
        <v>63</v>
      </c>
      <c r="F68" t="s">
        <v>50</v>
      </c>
      <c r="G68">
        <v>1</v>
      </c>
      <c r="H68">
        <v>2.97</v>
      </c>
      <c r="I68" t="s">
        <v>30</v>
      </c>
      <c r="J68">
        <v>54</v>
      </c>
      <c r="K68">
        <v>0</v>
      </c>
      <c r="L68">
        <v>9</v>
      </c>
      <c r="M68">
        <v>4.2</v>
      </c>
      <c r="N68">
        <v>2.97</v>
      </c>
    </row>
    <row r="69" spans="1:14">
      <c r="A69" t="s">
        <v>517</v>
      </c>
      <c r="B69" s="3">
        <v>46255</v>
      </c>
      <c r="C69" t="s">
        <v>362</v>
      </c>
      <c r="D69" t="s">
        <v>72</v>
      </c>
      <c r="E69" t="s">
        <v>120</v>
      </c>
      <c r="F69" t="s">
        <v>50</v>
      </c>
      <c r="G69">
        <v>4</v>
      </c>
      <c r="H69">
        <v>2.25</v>
      </c>
      <c r="I69" t="s">
        <v>19</v>
      </c>
      <c r="J69">
        <v>48</v>
      </c>
      <c r="K69">
        <v>0</v>
      </c>
      <c r="L69">
        <v>9</v>
      </c>
      <c r="M69">
        <v>5.0999999999999996</v>
      </c>
      <c r="N69">
        <v>9</v>
      </c>
    </row>
    <row r="70" spans="1:14">
      <c r="A70" t="s">
        <v>518</v>
      </c>
      <c r="B70" s="3">
        <v>46250</v>
      </c>
      <c r="C70" t="s">
        <v>519</v>
      </c>
      <c r="D70" t="s">
        <v>27</v>
      </c>
      <c r="E70" t="s">
        <v>49</v>
      </c>
      <c r="F70" t="s">
        <v>50</v>
      </c>
      <c r="G70">
        <v>2</v>
      </c>
      <c r="H70">
        <v>3.95</v>
      </c>
      <c r="I70" t="s">
        <v>19</v>
      </c>
      <c r="J70">
        <v>45</v>
      </c>
      <c r="K70">
        <v>0</v>
      </c>
      <c r="L70">
        <v>8</v>
      </c>
      <c r="M70">
        <v>6.1</v>
      </c>
      <c r="N70">
        <v>7.9</v>
      </c>
    </row>
    <row r="71" spans="1:14">
      <c r="A71" t="s">
        <v>537</v>
      </c>
      <c r="B71" s="3">
        <v>46230</v>
      </c>
      <c r="C71" t="s">
        <v>189</v>
      </c>
      <c r="D71" t="s">
        <v>33</v>
      </c>
      <c r="E71" t="s">
        <v>49</v>
      </c>
      <c r="F71" t="s">
        <v>50</v>
      </c>
      <c r="G71">
        <v>1</v>
      </c>
      <c r="H71">
        <v>3.95</v>
      </c>
      <c r="I71" t="s">
        <v>19</v>
      </c>
      <c r="J71">
        <v>30</v>
      </c>
      <c r="K71">
        <v>0</v>
      </c>
      <c r="L71">
        <v>8</v>
      </c>
      <c r="M71">
        <v>2.7</v>
      </c>
      <c r="N71">
        <v>3.95</v>
      </c>
    </row>
    <row r="72" spans="1:14">
      <c r="A72" t="s">
        <v>546</v>
      </c>
      <c r="B72" s="3">
        <v>46187</v>
      </c>
      <c r="C72" t="s">
        <v>335</v>
      </c>
      <c r="D72" t="s">
        <v>27</v>
      </c>
      <c r="E72" t="s">
        <v>49</v>
      </c>
      <c r="F72" t="s">
        <v>50</v>
      </c>
      <c r="G72">
        <v>1</v>
      </c>
      <c r="H72">
        <v>3.95</v>
      </c>
      <c r="I72" t="s">
        <v>19</v>
      </c>
      <c r="J72">
        <v>36</v>
      </c>
      <c r="K72">
        <v>0</v>
      </c>
      <c r="L72">
        <v>7</v>
      </c>
      <c r="M72">
        <v>5.2</v>
      </c>
      <c r="N72">
        <v>3.95</v>
      </c>
    </row>
    <row r="73" spans="1:14">
      <c r="A73" t="s">
        <v>551</v>
      </c>
      <c r="B73" s="3">
        <v>46175</v>
      </c>
      <c r="C73" t="s">
        <v>163</v>
      </c>
      <c r="D73" t="s">
        <v>22</v>
      </c>
      <c r="E73" t="s">
        <v>49</v>
      </c>
      <c r="F73" t="s">
        <v>50</v>
      </c>
      <c r="G73">
        <v>2</v>
      </c>
      <c r="H73">
        <v>3.95</v>
      </c>
      <c r="I73" t="s">
        <v>19</v>
      </c>
      <c r="J73">
        <v>29</v>
      </c>
      <c r="K73">
        <v>0</v>
      </c>
      <c r="L73">
        <v>6</v>
      </c>
      <c r="M73">
        <v>5.9</v>
      </c>
      <c r="N73">
        <v>7.9</v>
      </c>
    </row>
    <row r="74" spans="1:14">
      <c r="A74" t="s">
        <v>564</v>
      </c>
      <c r="B74" s="3">
        <v>46215</v>
      </c>
      <c r="C74" t="s">
        <v>560</v>
      </c>
      <c r="D74" t="s">
        <v>27</v>
      </c>
      <c r="E74" t="s">
        <v>63</v>
      </c>
      <c r="F74" t="s">
        <v>50</v>
      </c>
      <c r="G74">
        <v>1</v>
      </c>
      <c r="H74">
        <v>3.49</v>
      </c>
      <c r="I74" t="s">
        <v>19</v>
      </c>
      <c r="J74">
        <v>27</v>
      </c>
      <c r="K74">
        <v>1</v>
      </c>
      <c r="L74">
        <v>4</v>
      </c>
      <c r="M74">
        <v>4.3</v>
      </c>
      <c r="N74">
        <v>3.49</v>
      </c>
    </row>
    <row r="75" spans="1:14">
      <c r="A75" t="s">
        <v>569</v>
      </c>
      <c r="B75" s="3">
        <v>46199</v>
      </c>
      <c r="C75" t="s">
        <v>258</v>
      </c>
      <c r="D75" t="s">
        <v>72</v>
      </c>
      <c r="E75" t="s">
        <v>63</v>
      </c>
      <c r="F75" t="s">
        <v>50</v>
      </c>
      <c r="G75">
        <v>4</v>
      </c>
      <c r="H75">
        <v>3.49</v>
      </c>
      <c r="I75" t="s">
        <v>19</v>
      </c>
      <c r="J75">
        <v>57</v>
      </c>
      <c r="K75">
        <v>0</v>
      </c>
      <c r="L75">
        <v>7</v>
      </c>
      <c r="M75">
        <v>2.9</v>
      </c>
      <c r="N75">
        <v>13.96</v>
      </c>
    </row>
    <row r="76" spans="1:14">
      <c r="A76" t="s">
        <v>591</v>
      </c>
      <c r="B76" s="3">
        <v>46255</v>
      </c>
      <c r="C76" t="s">
        <v>189</v>
      </c>
      <c r="D76" t="s">
        <v>72</v>
      </c>
      <c r="E76" t="s">
        <v>63</v>
      </c>
      <c r="F76" t="s">
        <v>50</v>
      </c>
      <c r="G76">
        <v>1</v>
      </c>
      <c r="H76">
        <v>3.49</v>
      </c>
      <c r="I76" t="s">
        <v>19</v>
      </c>
      <c r="J76">
        <v>17</v>
      </c>
      <c r="K76">
        <v>0</v>
      </c>
      <c r="L76">
        <v>9</v>
      </c>
      <c r="M76">
        <v>4.9000000000000004</v>
      </c>
      <c r="N76">
        <v>3.49</v>
      </c>
    </row>
    <row r="77" spans="1:14">
      <c r="A77" t="s">
        <v>595</v>
      </c>
      <c r="B77" s="3">
        <v>46210</v>
      </c>
      <c r="C77" t="s">
        <v>289</v>
      </c>
      <c r="D77" t="s">
        <v>22</v>
      </c>
      <c r="E77" t="s">
        <v>63</v>
      </c>
      <c r="F77" t="s">
        <v>50</v>
      </c>
      <c r="G77">
        <v>3</v>
      </c>
      <c r="H77">
        <v>3.49</v>
      </c>
      <c r="I77" t="s">
        <v>19</v>
      </c>
      <c r="J77">
        <v>39</v>
      </c>
      <c r="K77">
        <v>0</v>
      </c>
      <c r="L77">
        <v>7</v>
      </c>
      <c r="M77">
        <v>2.6</v>
      </c>
      <c r="N77">
        <v>10.47</v>
      </c>
    </row>
    <row r="78" spans="1:14">
      <c r="A78" t="s">
        <v>605</v>
      </c>
      <c r="B78" s="3">
        <v>46231</v>
      </c>
      <c r="C78" t="s">
        <v>150</v>
      </c>
      <c r="D78" t="s">
        <v>22</v>
      </c>
      <c r="E78" t="s">
        <v>120</v>
      </c>
      <c r="F78" t="s">
        <v>50</v>
      </c>
      <c r="G78">
        <v>1</v>
      </c>
      <c r="H78">
        <v>1.91</v>
      </c>
      <c r="I78" t="s">
        <v>30</v>
      </c>
      <c r="J78">
        <v>53</v>
      </c>
      <c r="K78">
        <v>0</v>
      </c>
      <c r="L78">
        <v>5</v>
      </c>
      <c r="M78">
        <v>3.7</v>
      </c>
      <c r="N78">
        <v>1.91</v>
      </c>
    </row>
    <row r="79" spans="1:14">
      <c r="A79" t="s">
        <v>607</v>
      </c>
      <c r="B79" s="3">
        <v>46259</v>
      </c>
      <c r="C79" t="s">
        <v>300</v>
      </c>
      <c r="D79" t="s">
        <v>22</v>
      </c>
      <c r="E79" t="s">
        <v>49</v>
      </c>
      <c r="F79" t="s">
        <v>50</v>
      </c>
      <c r="G79">
        <v>4</v>
      </c>
      <c r="H79">
        <v>3.95</v>
      </c>
      <c r="I79" t="s">
        <v>19</v>
      </c>
      <c r="J79">
        <v>6</v>
      </c>
      <c r="K79">
        <v>0</v>
      </c>
      <c r="L79">
        <v>7</v>
      </c>
      <c r="M79">
        <v>5.0999999999999996</v>
      </c>
      <c r="N79">
        <v>15.8</v>
      </c>
    </row>
    <row r="80" spans="1:14">
      <c r="A80" t="s">
        <v>608</v>
      </c>
      <c r="B80" s="3">
        <v>46210</v>
      </c>
      <c r="C80" t="s">
        <v>362</v>
      </c>
      <c r="D80" t="s">
        <v>22</v>
      </c>
      <c r="E80" t="s">
        <v>120</v>
      </c>
      <c r="F80" t="s">
        <v>50</v>
      </c>
      <c r="G80">
        <v>1</v>
      </c>
      <c r="H80">
        <v>2.25</v>
      </c>
      <c r="I80" t="s">
        <v>19</v>
      </c>
      <c r="J80">
        <v>32</v>
      </c>
      <c r="K80">
        <v>0</v>
      </c>
      <c r="L80">
        <v>9</v>
      </c>
      <c r="M80">
        <v>4</v>
      </c>
      <c r="N80">
        <v>2.25</v>
      </c>
    </row>
    <row r="81" spans="1:14">
      <c r="A81" t="s">
        <v>617</v>
      </c>
      <c r="B81" s="3">
        <v>46246</v>
      </c>
      <c r="C81" t="s">
        <v>618</v>
      </c>
      <c r="D81" t="s">
        <v>16</v>
      </c>
      <c r="E81" t="s">
        <v>63</v>
      </c>
      <c r="F81" t="s">
        <v>50</v>
      </c>
      <c r="G81">
        <v>1</v>
      </c>
      <c r="H81">
        <v>2.97</v>
      </c>
      <c r="I81" t="s">
        <v>30</v>
      </c>
      <c r="J81">
        <v>3</v>
      </c>
      <c r="K81">
        <v>0</v>
      </c>
      <c r="L81">
        <v>7</v>
      </c>
      <c r="M81">
        <v>2.2000000000000002</v>
      </c>
      <c r="N81">
        <v>2.97</v>
      </c>
    </row>
    <row r="82" spans="1:14">
      <c r="A82" t="s">
        <v>629</v>
      </c>
      <c r="B82" s="3">
        <v>46230</v>
      </c>
      <c r="C82" t="s">
        <v>630</v>
      </c>
      <c r="D82" t="s">
        <v>33</v>
      </c>
      <c r="E82" t="s">
        <v>120</v>
      </c>
      <c r="F82" t="s">
        <v>50</v>
      </c>
      <c r="G82">
        <v>1</v>
      </c>
      <c r="H82">
        <v>2.25</v>
      </c>
      <c r="I82" t="s">
        <v>19</v>
      </c>
      <c r="J82">
        <v>11</v>
      </c>
      <c r="K82">
        <v>1</v>
      </c>
      <c r="L82">
        <v>7</v>
      </c>
      <c r="M82">
        <v>2.6</v>
      </c>
      <c r="N82">
        <v>2.25</v>
      </c>
    </row>
    <row r="83" spans="1:14">
      <c r="A83" t="s">
        <v>633</v>
      </c>
      <c r="B83" s="3">
        <v>46183</v>
      </c>
      <c r="C83" t="s">
        <v>318</v>
      </c>
      <c r="D83" t="s">
        <v>16</v>
      </c>
      <c r="E83" t="s">
        <v>63</v>
      </c>
      <c r="F83" t="s">
        <v>50</v>
      </c>
      <c r="G83">
        <v>1</v>
      </c>
      <c r="H83">
        <v>3.49</v>
      </c>
      <c r="I83" t="s">
        <v>19</v>
      </c>
      <c r="J83">
        <v>14</v>
      </c>
      <c r="K83">
        <v>0</v>
      </c>
      <c r="L83">
        <v>8</v>
      </c>
      <c r="M83">
        <v>4</v>
      </c>
      <c r="N83">
        <v>3.49</v>
      </c>
    </row>
    <row r="84" spans="1:14">
      <c r="A84" t="s">
        <v>640</v>
      </c>
      <c r="B84" s="3">
        <v>46228</v>
      </c>
      <c r="C84" t="s">
        <v>211</v>
      </c>
      <c r="D84" t="s">
        <v>66</v>
      </c>
      <c r="E84" t="s">
        <v>49</v>
      </c>
      <c r="F84" t="s">
        <v>50</v>
      </c>
      <c r="G84">
        <v>2</v>
      </c>
      <c r="H84">
        <v>3.95</v>
      </c>
      <c r="I84" t="s">
        <v>19</v>
      </c>
      <c r="J84">
        <v>35</v>
      </c>
      <c r="K84">
        <v>0</v>
      </c>
      <c r="L84">
        <v>7</v>
      </c>
      <c r="M84">
        <v>2.1</v>
      </c>
      <c r="N84">
        <v>7.9</v>
      </c>
    </row>
    <row r="85" spans="1:14">
      <c r="A85" t="s">
        <v>644</v>
      </c>
      <c r="B85" s="3">
        <v>46194</v>
      </c>
      <c r="C85" t="s">
        <v>272</v>
      </c>
      <c r="D85" t="s">
        <v>27</v>
      </c>
      <c r="E85" t="s">
        <v>63</v>
      </c>
      <c r="F85" t="s">
        <v>50</v>
      </c>
      <c r="G85">
        <v>1</v>
      </c>
      <c r="H85">
        <v>2.97</v>
      </c>
      <c r="I85" t="s">
        <v>30</v>
      </c>
      <c r="J85">
        <v>43</v>
      </c>
      <c r="K85">
        <v>0</v>
      </c>
      <c r="L85">
        <v>8</v>
      </c>
      <c r="M85">
        <v>5.0999999999999996</v>
      </c>
      <c r="N85">
        <v>2.97</v>
      </c>
    </row>
    <row r="86" spans="1:14">
      <c r="A86" t="s">
        <v>656</v>
      </c>
      <c r="B86" s="3">
        <v>46201</v>
      </c>
      <c r="C86" t="s">
        <v>458</v>
      </c>
      <c r="D86" t="s">
        <v>27</v>
      </c>
      <c r="E86" t="s">
        <v>120</v>
      </c>
      <c r="F86" t="s">
        <v>50</v>
      </c>
      <c r="G86">
        <v>2</v>
      </c>
      <c r="H86">
        <v>1.91</v>
      </c>
      <c r="I86" t="s">
        <v>30</v>
      </c>
      <c r="J86">
        <v>44</v>
      </c>
      <c r="K86">
        <v>0</v>
      </c>
      <c r="L86">
        <v>8</v>
      </c>
      <c r="M86">
        <v>2.7</v>
      </c>
      <c r="N86">
        <v>3.82</v>
      </c>
    </row>
    <row r="87" spans="1:14">
      <c r="A87" t="s">
        <v>657</v>
      </c>
      <c r="B87" s="3">
        <v>46240</v>
      </c>
      <c r="C87" t="s">
        <v>543</v>
      </c>
      <c r="D87" t="s">
        <v>37</v>
      </c>
      <c r="E87" t="s">
        <v>63</v>
      </c>
      <c r="F87" t="s">
        <v>50</v>
      </c>
      <c r="G87">
        <v>2</v>
      </c>
      <c r="H87">
        <v>3.49</v>
      </c>
      <c r="I87" t="s">
        <v>19</v>
      </c>
      <c r="J87">
        <v>13</v>
      </c>
      <c r="K87">
        <v>0</v>
      </c>
      <c r="L87">
        <v>6</v>
      </c>
      <c r="M87">
        <v>2.2999999999999998</v>
      </c>
      <c r="N87">
        <v>6.98</v>
      </c>
    </row>
    <row r="88" spans="1:14">
      <c r="A88" t="s">
        <v>664</v>
      </c>
      <c r="B88" s="3">
        <v>46245</v>
      </c>
      <c r="C88" t="s">
        <v>144</v>
      </c>
      <c r="D88" t="s">
        <v>22</v>
      </c>
      <c r="E88" t="s">
        <v>63</v>
      </c>
      <c r="F88" t="s">
        <v>50</v>
      </c>
      <c r="G88">
        <v>3</v>
      </c>
      <c r="H88">
        <v>3.49</v>
      </c>
      <c r="I88" t="s">
        <v>19</v>
      </c>
      <c r="J88">
        <v>38</v>
      </c>
      <c r="K88">
        <v>0</v>
      </c>
      <c r="L88">
        <v>7</v>
      </c>
      <c r="M88">
        <v>5.6</v>
      </c>
      <c r="N88">
        <v>10.47</v>
      </c>
    </row>
    <row r="89" spans="1:14">
      <c r="A89" t="s">
        <v>666</v>
      </c>
      <c r="B89" s="3">
        <v>46196</v>
      </c>
      <c r="C89" t="s">
        <v>325</v>
      </c>
      <c r="D89" t="s">
        <v>22</v>
      </c>
      <c r="E89" t="s">
        <v>49</v>
      </c>
      <c r="F89" t="s">
        <v>50</v>
      </c>
      <c r="G89">
        <v>1</v>
      </c>
      <c r="H89">
        <v>3.95</v>
      </c>
      <c r="I89" t="s">
        <v>19</v>
      </c>
      <c r="J89">
        <v>44</v>
      </c>
      <c r="K89">
        <v>0</v>
      </c>
      <c r="L89">
        <v>4</v>
      </c>
      <c r="M89">
        <v>4.7</v>
      </c>
      <c r="N89">
        <v>3.95</v>
      </c>
    </row>
    <row r="90" spans="1:14">
      <c r="A90" t="s">
        <v>675</v>
      </c>
      <c r="B90" s="3">
        <v>46191</v>
      </c>
      <c r="C90" t="s">
        <v>508</v>
      </c>
      <c r="D90" t="s">
        <v>37</v>
      </c>
      <c r="E90" t="s">
        <v>63</v>
      </c>
      <c r="F90" t="s">
        <v>50</v>
      </c>
      <c r="G90">
        <v>1</v>
      </c>
      <c r="H90">
        <v>3.49</v>
      </c>
      <c r="I90" t="s">
        <v>19</v>
      </c>
      <c r="J90">
        <v>7</v>
      </c>
      <c r="K90">
        <v>0</v>
      </c>
      <c r="L90">
        <v>7</v>
      </c>
      <c r="M90">
        <v>2.5</v>
      </c>
      <c r="N90">
        <v>3.49</v>
      </c>
    </row>
    <row r="91" spans="1:14">
      <c r="A91" t="s">
        <v>676</v>
      </c>
      <c r="B91" s="3">
        <v>46224</v>
      </c>
      <c r="C91" t="s">
        <v>519</v>
      </c>
      <c r="D91" t="s">
        <v>22</v>
      </c>
      <c r="E91" t="s">
        <v>49</v>
      </c>
      <c r="F91" t="s">
        <v>50</v>
      </c>
      <c r="G91">
        <v>1</v>
      </c>
      <c r="H91">
        <v>3.36</v>
      </c>
      <c r="I91" t="s">
        <v>30</v>
      </c>
      <c r="J91">
        <v>25</v>
      </c>
      <c r="K91">
        <v>0</v>
      </c>
      <c r="L91">
        <v>7</v>
      </c>
      <c r="M91">
        <v>3.2</v>
      </c>
      <c r="N91">
        <v>3.36</v>
      </c>
    </row>
    <row r="92" spans="1:14">
      <c r="A92" t="s">
        <v>678</v>
      </c>
      <c r="B92" s="3">
        <v>46187</v>
      </c>
      <c r="C92" t="s">
        <v>303</v>
      </c>
      <c r="D92" t="s">
        <v>27</v>
      </c>
      <c r="E92" t="s">
        <v>63</v>
      </c>
      <c r="F92" t="s">
        <v>50</v>
      </c>
      <c r="G92">
        <v>1</v>
      </c>
      <c r="H92">
        <v>2.97</v>
      </c>
      <c r="I92" t="s">
        <v>30</v>
      </c>
      <c r="J92">
        <v>27</v>
      </c>
      <c r="K92">
        <v>0</v>
      </c>
      <c r="L92">
        <v>5</v>
      </c>
      <c r="M92">
        <v>3.9</v>
      </c>
      <c r="N92">
        <v>2.97</v>
      </c>
    </row>
    <row r="93" spans="1:14">
      <c r="A93" t="s">
        <v>683</v>
      </c>
      <c r="B93" s="3">
        <v>46206</v>
      </c>
      <c r="C93" t="s">
        <v>684</v>
      </c>
      <c r="D93" t="s">
        <v>72</v>
      </c>
      <c r="E93" t="s">
        <v>120</v>
      </c>
      <c r="F93" t="s">
        <v>50</v>
      </c>
      <c r="G93">
        <v>3</v>
      </c>
      <c r="H93">
        <v>2.25</v>
      </c>
      <c r="I93" t="s">
        <v>19</v>
      </c>
      <c r="J93">
        <v>18</v>
      </c>
      <c r="K93">
        <v>0</v>
      </c>
      <c r="L93">
        <v>5</v>
      </c>
      <c r="M93">
        <v>3.3</v>
      </c>
      <c r="N93">
        <v>6.75</v>
      </c>
    </row>
    <row r="94" spans="1:14">
      <c r="A94" t="s">
        <v>690</v>
      </c>
      <c r="B94" s="3">
        <v>46228</v>
      </c>
      <c r="C94" t="s">
        <v>137</v>
      </c>
      <c r="D94" t="s">
        <v>66</v>
      </c>
      <c r="E94" t="s">
        <v>63</v>
      </c>
      <c r="F94" t="s">
        <v>50</v>
      </c>
      <c r="G94">
        <v>1</v>
      </c>
      <c r="H94">
        <v>3.49</v>
      </c>
      <c r="I94" t="s">
        <v>19</v>
      </c>
      <c r="J94">
        <v>44</v>
      </c>
      <c r="K94">
        <v>1</v>
      </c>
      <c r="L94">
        <v>7</v>
      </c>
      <c r="M94">
        <v>4.4000000000000004</v>
      </c>
      <c r="N94">
        <v>3.49</v>
      </c>
    </row>
    <row r="95" spans="1:14">
      <c r="A95" t="s">
        <v>691</v>
      </c>
      <c r="B95" s="3">
        <v>46215</v>
      </c>
      <c r="C95" t="s">
        <v>327</v>
      </c>
      <c r="D95" t="s">
        <v>27</v>
      </c>
      <c r="E95" t="s">
        <v>63</v>
      </c>
      <c r="F95" t="s">
        <v>50</v>
      </c>
      <c r="G95">
        <v>1</v>
      </c>
      <c r="H95">
        <v>3.49</v>
      </c>
      <c r="I95" t="s">
        <v>19</v>
      </c>
      <c r="J95">
        <v>47</v>
      </c>
      <c r="K95">
        <v>0</v>
      </c>
      <c r="L95">
        <v>6</v>
      </c>
      <c r="M95">
        <v>4.8</v>
      </c>
      <c r="N95">
        <v>3.49</v>
      </c>
    </row>
    <row r="96" spans="1:14">
      <c r="A96" t="s">
        <v>705</v>
      </c>
      <c r="B96" s="3">
        <v>46215</v>
      </c>
      <c r="C96" t="s">
        <v>93</v>
      </c>
      <c r="D96" t="s">
        <v>27</v>
      </c>
      <c r="E96" t="s">
        <v>49</v>
      </c>
      <c r="F96" t="s">
        <v>50</v>
      </c>
      <c r="G96">
        <v>1</v>
      </c>
      <c r="H96">
        <v>3.95</v>
      </c>
      <c r="I96" t="s">
        <v>19</v>
      </c>
      <c r="J96">
        <v>31</v>
      </c>
      <c r="K96">
        <v>0</v>
      </c>
      <c r="L96">
        <v>7</v>
      </c>
      <c r="M96">
        <v>4.5999999999999996</v>
      </c>
      <c r="N96">
        <v>3.95</v>
      </c>
    </row>
    <row r="97" spans="1:14">
      <c r="A97" t="s">
        <v>707</v>
      </c>
      <c r="B97" s="3">
        <v>46258</v>
      </c>
      <c r="C97" t="s">
        <v>335</v>
      </c>
      <c r="D97" t="s">
        <v>33</v>
      </c>
      <c r="E97" t="s">
        <v>49</v>
      </c>
      <c r="F97" t="s">
        <v>50</v>
      </c>
      <c r="G97">
        <v>1</v>
      </c>
      <c r="H97">
        <v>3.36</v>
      </c>
      <c r="I97" t="s">
        <v>30</v>
      </c>
      <c r="J97">
        <v>58</v>
      </c>
      <c r="K97">
        <v>0</v>
      </c>
      <c r="L97">
        <v>8</v>
      </c>
      <c r="M97">
        <v>4.7</v>
      </c>
      <c r="N97">
        <v>3.36</v>
      </c>
    </row>
    <row r="98" spans="1:14">
      <c r="A98" t="s">
        <v>708</v>
      </c>
      <c r="B98" s="3">
        <v>46242</v>
      </c>
      <c r="C98" t="s">
        <v>170</v>
      </c>
      <c r="D98" t="s">
        <v>66</v>
      </c>
      <c r="E98" t="s">
        <v>49</v>
      </c>
      <c r="F98" t="s">
        <v>50</v>
      </c>
      <c r="G98">
        <v>1</v>
      </c>
      <c r="H98">
        <v>3.95</v>
      </c>
      <c r="I98" t="s">
        <v>19</v>
      </c>
      <c r="J98">
        <v>5</v>
      </c>
      <c r="K98">
        <v>0</v>
      </c>
      <c r="L98">
        <v>8</v>
      </c>
      <c r="M98">
        <v>4.0999999999999996</v>
      </c>
      <c r="N98">
        <v>3.95</v>
      </c>
    </row>
    <row r="99" spans="1:14">
      <c r="A99" t="s">
        <v>710</v>
      </c>
      <c r="B99" s="3">
        <v>46240</v>
      </c>
      <c r="C99" t="s">
        <v>415</v>
      </c>
      <c r="D99" t="s">
        <v>37</v>
      </c>
      <c r="E99" t="s">
        <v>63</v>
      </c>
      <c r="F99" t="s">
        <v>50</v>
      </c>
      <c r="G99">
        <v>1</v>
      </c>
      <c r="H99">
        <v>3.49</v>
      </c>
      <c r="I99" t="s">
        <v>19</v>
      </c>
      <c r="J99">
        <v>7</v>
      </c>
      <c r="K99">
        <v>0</v>
      </c>
      <c r="L99">
        <v>4</v>
      </c>
      <c r="M99">
        <v>4.0999999999999996</v>
      </c>
      <c r="N99">
        <v>3.49</v>
      </c>
    </row>
    <row r="100" spans="1:14">
      <c r="A100" t="s">
        <v>715</v>
      </c>
      <c r="B100" s="3">
        <v>46227</v>
      </c>
      <c r="C100" t="s">
        <v>130</v>
      </c>
      <c r="D100" t="s">
        <v>72</v>
      </c>
      <c r="E100" t="s">
        <v>120</v>
      </c>
      <c r="F100" t="s">
        <v>50</v>
      </c>
      <c r="G100">
        <v>1</v>
      </c>
      <c r="H100">
        <v>2.25</v>
      </c>
      <c r="I100" t="s">
        <v>19</v>
      </c>
      <c r="J100">
        <v>11</v>
      </c>
      <c r="K100">
        <v>0</v>
      </c>
      <c r="L100">
        <v>6</v>
      </c>
      <c r="M100">
        <v>5.5</v>
      </c>
      <c r="N100">
        <v>2.25</v>
      </c>
    </row>
    <row r="101" spans="1:14">
      <c r="A101" t="s">
        <v>717</v>
      </c>
      <c r="B101" s="3">
        <v>46244</v>
      </c>
      <c r="C101" t="s">
        <v>105</v>
      </c>
      <c r="D101" t="s">
        <v>33</v>
      </c>
      <c r="E101" t="s">
        <v>63</v>
      </c>
      <c r="F101" t="s">
        <v>50</v>
      </c>
      <c r="G101">
        <v>1</v>
      </c>
      <c r="H101">
        <v>3.49</v>
      </c>
      <c r="I101" t="s">
        <v>19</v>
      </c>
      <c r="J101">
        <v>50</v>
      </c>
      <c r="K101">
        <v>0</v>
      </c>
      <c r="L101">
        <v>7</v>
      </c>
      <c r="M101">
        <v>4</v>
      </c>
      <c r="N101">
        <v>3.49</v>
      </c>
    </row>
    <row r="102" spans="1:14">
      <c r="A102" t="s">
        <v>720</v>
      </c>
      <c r="B102" s="3">
        <v>46220</v>
      </c>
      <c r="C102" t="s">
        <v>105</v>
      </c>
      <c r="D102" t="s">
        <v>72</v>
      </c>
      <c r="E102" t="s">
        <v>63</v>
      </c>
      <c r="F102" t="s">
        <v>50</v>
      </c>
      <c r="G102">
        <v>2</v>
      </c>
      <c r="H102">
        <v>3.49</v>
      </c>
      <c r="I102" t="s">
        <v>19</v>
      </c>
      <c r="J102">
        <v>38</v>
      </c>
      <c r="K102">
        <v>0</v>
      </c>
      <c r="L102">
        <v>7</v>
      </c>
      <c r="M102">
        <v>4.9000000000000004</v>
      </c>
      <c r="N102">
        <v>6.98</v>
      </c>
    </row>
    <row r="103" spans="1:14">
      <c r="A103" t="s">
        <v>733</v>
      </c>
      <c r="B103" s="3">
        <v>46262</v>
      </c>
      <c r="C103" t="s">
        <v>62</v>
      </c>
      <c r="D103" t="s">
        <v>72</v>
      </c>
      <c r="E103" t="s">
        <v>63</v>
      </c>
      <c r="F103" t="s">
        <v>50</v>
      </c>
      <c r="G103">
        <v>3</v>
      </c>
      <c r="H103">
        <v>3.49</v>
      </c>
      <c r="I103" t="s">
        <v>19</v>
      </c>
      <c r="J103">
        <v>13</v>
      </c>
      <c r="K103">
        <v>0</v>
      </c>
      <c r="L103">
        <v>6</v>
      </c>
      <c r="M103">
        <v>4.5999999999999996</v>
      </c>
      <c r="N103">
        <v>10.47</v>
      </c>
    </row>
    <row r="104" spans="1:14">
      <c r="A104" t="s">
        <v>735</v>
      </c>
      <c r="B104" s="3">
        <v>46244</v>
      </c>
      <c r="C104" t="s">
        <v>80</v>
      </c>
      <c r="D104" t="s">
        <v>33</v>
      </c>
      <c r="E104" t="s">
        <v>63</v>
      </c>
      <c r="F104" t="s">
        <v>50</v>
      </c>
      <c r="G104">
        <v>3</v>
      </c>
      <c r="H104">
        <v>3.49</v>
      </c>
      <c r="I104" t="s">
        <v>19</v>
      </c>
      <c r="J104">
        <v>3</v>
      </c>
      <c r="K104">
        <v>0</v>
      </c>
      <c r="L104">
        <v>5</v>
      </c>
      <c r="M104">
        <v>4.5999999999999996</v>
      </c>
      <c r="N104">
        <v>10.47</v>
      </c>
    </row>
    <row r="105" spans="1:14">
      <c r="A105" t="s">
        <v>736</v>
      </c>
      <c r="B105" s="3">
        <v>46189</v>
      </c>
      <c r="C105" t="s">
        <v>247</v>
      </c>
      <c r="D105" t="s">
        <v>22</v>
      </c>
      <c r="E105" t="s">
        <v>120</v>
      </c>
      <c r="F105" t="s">
        <v>50</v>
      </c>
      <c r="G105">
        <v>3</v>
      </c>
      <c r="H105">
        <v>2.25</v>
      </c>
      <c r="I105" t="s">
        <v>19</v>
      </c>
      <c r="J105">
        <v>54</v>
      </c>
      <c r="K105">
        <v>0</v>
      </c>
      <c r="L105">
        <v>6</v>
      </c>
      <c r="M105">
        <v>4.9000000000000004</v>
      </c>
      <c r="N105">
        <v>6.75</v>
      </c>
    </row>
    <row r="106" spans="1:14">
      <c r="A106" t="s">
        <v>756</v>
      </c>
      <c r="B106" s="3">
        <v>46198</v>
      </c>
      <c r="C106" t="s">
        <v>672</v>
      </c>
      <c r="D106" t="s">
        <v>37</v>
      </c>
      <c r="E106" t="s">
        <v>120</v>
      </c>
      <c r="F106" t="s">
        <v>50</v>
      </c>
      <c r="G106">
        <v>1</v>
      </c>
      <c r="H106">
        <v>2.25</v>
      </c>
      <c r="I106" t="s">
        <v>19</v>
      </c>
      <c r="J106">
        <v>46</v>
      </c>
      <c r="K106">
        <v>0</v>
      </c>
      <c r="L106">
        <v>6</v>
      </c>
      <c r="M106">
        <v>2.9</v>
      </c>
      <c r="N106">
        <v>2.25</v>
      </c>
    </row>
    <row r="107" spans="1:14">
      <c r="A107" t="s">
        <v>765</v>
      </c>
      <c r="B107" s="3">
        <v>46193</v>
      </c>
      <c r="C107" t="s">
        <v>93</v>
      </c>
      <c r="D107" t="s">
        <v>66</v>
      </c>
      <c r="E107" t="s">
        <v>120</v>
      </c>
      <c r="F107" t="s">
        <v>50</v>
      </c>
      <c r="G107">
        <v>2</v>
      </c>
      <c r="H107">
        <v>2.25</v>
      </c>
      <c r="I107" t="s">
        <v>19</v>
      </c>
      <c r="J107">
        <v>15</v>
      </c>
      <c r="K107">
        <v>0</v>
      </c>
      <c r="L107">
        <v>7</v>
      </c>
      <c r="M107">
        <v>3.6</v>
      </c>
      <c r="N107">
        <v>4.5</v>
      </c>
    </row>
    <row r="108" spans="1:14">
      <c r="A108" t="s">
        <v>767</v>
      </c>
      <c r="B108" s="3">
        <v>46189</v>
      </c>
      <c r="C108" t="s">
        <v>202</v>
      </c>
      <c r="D108" t="s">
        <v>22</v>
      </c>
      <c r="E108" t="s">
        <v>63</v>
      </c>
      <c r="F108" t="s">
        <v>50</v>
      </c>
      <c r="G108">
        <v>1</v>
      </c>
      <c r="H108">
        <v>3.49</v>
      </c>
      <c r="I108" t="s">
        <v>19</v>
      </c>
      <c r="J108">
        <v>33</v>
      </c>
      <c r="K108">
        <v>0</v>
      </c>
      <c r="L108">
        <v>9</v>
      </c>
      <c r="M108">
        <v>4.4000000000000004</v>
      </c>
      <c r="N108">
        <v>3.49</v>
      </c>
    </row>
    <row r="109" spans="1:14">
      <c r="A109" t="s">
        <v>772</v>
      </c>
      <c r="B109" s="3">
        <v>46234</v>
      </c>
      <c r="C109" t="s">
        <v>272</v>
      </c>
      <c r="D109" t="s">
        <v>72</v>
      </c>
      <c r="E109" t="s">
        <v>49</v>
      </c>
      <c r="F109" t="s">
        <v>50</v>
      </c>
      <c r="G109">
        <v>1</v>
      </c>
      <c r="H109">
        <v>3.36</v>
      </c>
      <c r="I109" t="s">
        <v>30</v>
      </c>
      <c r="J109">
        <v>15</v>
      </c>
      <c r="K109">
        <v>0</v>
      </c>
      <c r="L109">
        <v>8</v>
      </c>
      <c r="M109">
        <v>6.9</v>
      </c>
      <c r="N109">
        <v>3.36</v>
      </c>
    </row>
    <row r="110" spans="1:14">
      <c r="A110" t="s">
        <v>775</v>
      </c>
      <c r="B110" s="3">
        <v>46238</v>
      </c>
      <c r="C110" t="s">
        <v>56</v>
      </c>
      <c r="D110" t="s">
        <v>22</v>
      </c>
      <c r="E110" t="s">
        <v>120</v>
      </c>
      <c r="F110" t="s">
        <v>50</v>
      </c>
      <c r="G110">
        <v>1</v>
      </c>
      <c r="H110">
        <v>2.25</v>
      </c>
      <c r="I110" t="s">
        <v>19</v>
      </c>
      <c r="J110">
        <v>26</v>
      </c>
      <c r="K110">
        <v>0</v>
      </c>
      <c r="L110">
        <v>9</v>
      </c>
      <c r="M110">
        <v>6.3</v>
      </c>
      <c r="N110">
        <v>2.25</v>
      </c>
    </row>
    <row r="111" spans="1:14">
      <c r="A111" t="s">
        <v>777</v>
      </c>
      <c r="B111" s="3">
        <v>46237</v>
      </c>
      <c r="C111" t="s">
        <v>318</v>
      </c>
      <c r="D111" t="s">
        <v>33</v>
      </c>
      <c r="E111" t="s">
        <v>63</v>
      </c>
      <c r="F111" t="s">
        <v>50</v>
      </c>
      <c r="G111">
        <v>1</v>
      </c>
      <c r="H111">
        <v>3.49</v>
      </c>
      <c r="I111" t="s">
        <v>19</v>
      </c>
      <c r="J111">
        <v>6</v>
      </c>
      <c r="K111">
        <v>0</v>
      </c>
      <c r="L111">
        <v>8</v>
      </c>
      <c r="M111">
        <v>4.2</v>
      </c>
      <c r="N111">
        <v>3.49</v>
      </c>
    </row>
    <row r="112" spans="1:14">
      <c r="A112" t="s">
        <v>781</v>
      </c>
      <c r="B112" s="3">
        <v>46264</v>
      </c>
      <c r="C112" t="s">
        <v>89</v>
      </c>
      <c r="D112" t="s">
        <v>27</v>
      </c>
      <c r="E112" t="s">
        <v>120</v>
      </c>
      <c r="F112" t="s">
        <v>50</v>
      </c>
      <c r="G112">
        <v>1</v>
      </c>
      <c r="H112">
        <v>2.25</v>
      </c>
      <c r="I112" t="s">
        <v>19</v>
      </c>
      <c r="J112">
        <v>4</v>
      </c>
      <c r="K112">
        <v>0</v>
      </c>
      <c r="L112">
        <v>6</v>
      </c>
      <c r="M112">
        <v>3</v>
      </c>
      <c r="N112">
        <v>2.25</v>
      </c>
    </row>
    <row r="113" spans="1:14">
      <c r="A113" t="s">
        <v>787</v>
      </c>
      <c r="B113" s="3">
        <v>46230</v>
      </c>
      <c r="C113" t="s">
        <v>36</v>
      </c>
      <c r="D113" t="s">
        <v>33</v>
      </c>
      <c r="E113" t="s">
        <v>49</v>
      </c>
      <c r="F113" t="s">
        <v>50</v>
      </c>
      <c r="G113">
        <v>4</v>
      </c>
      <c r="H113">
        <v>3.95</v>
      </c>
      <c r="I113" t="s">
        <v>19</v>
      </c>
      <c r="J113">
        <v>45</v>
      </c>
      <c r="K113">
        <v>0</v>
      </c>
      <c r="L113">
        <v>8</v>
      </c>
      <c r="M113">
        <v>3.6</v>
      </c>
      <c r="N113">
        <v>15.8</v>
      </c>
    </row>
    <row r="114" spans="1:14">
      <c r="A114" t="s">
        <v>789</v>
      </c>
      <c r="B114" s="3">
        <v>46216</v>
      </c>
      <c r="C114" t="s">
        <v>209</v>
      </c>
      <c r="D114" t="s">
        <v>33</v>
      </c>
      <c r="E114" t="s">
        <v>63</v>
      </c>
      <c r="F114" t="s">
        <v>50</v>
      </c>
      <c r="G114">
        <v>3</v>
      </c>
      <c r="H114">
        <v>3.49</v>
      </c>
      <c r="I114" t="s">
        <v>19</v>
      </c>
      <c r="J114">
        <v>42</v>
      </c>
      <c r="K114">
        <v>0</v>
      </c>
      <c r="L114">
        <v>7</v>
      </c>
      <c r="M114">
        <v>5.4</v>
      </c>
      <c r="N114">
        <v>10.47</v>
      </c>
    </row>
    <row r="115" spans="1:14">
      <c r="A115" t="s">
        <v>790</v>
      </c>
      <c r="B115" s="3">
        <v>46224</v>
      </c>
      <c r="C115" t="s">
        <v>15</v>
      </c>
      <c r="D115" t="s">
        <v>22</v>
      </c>
      <c r="E115" t="s">
        <v>49</v>
      </c>
      <c r="F115" t="s">
        <v>50</v>
      </c>
      <c r="G115">
        <v>2</v>
      </c>
      <c r="H115">
        <v>3.95</v>
      </c>
      <c r="I115" t="s">
        <v>19</v>
      </c>
      <c r="J115">
        <v>21</v>
      </c>
      <c r="K115">
        <v>0</v>
      </c>
      <c r="L115">
        <v>7</v>
      </c>
      <c r="M115">
        <v>2.6</v>
      </c>
      <c r="N115">
        <v>7.9</v>
      </c>
    </row>
    <row r="116" spans="1:14">
      <c r="A116" t="s">
        <v>791</v>
      </c>
      <c r="B116" s="3">
        <v>46198</v>
      </c>
      <c r="C116" t="s">
        <v>150</v>
      </c>
      <c r="D116" t="s">
        <v>37</v>
      </c>
      <c r="E116" t="s">
        <v>63</v>
      </c>
      <c r="F116" t="s">
        <v>50</v>
      </c>
      <c r="G116">
        <v>4</v>
      </c>
      <c r="H116">
        <v>3.49</v>
      </c>
      <c r="I116" t="s">
        <v>19</v>
      </c>
      <c r="J116">
        <v>50</v>
      </c>
      <c r="K116">
        <v>0</v>
      </c>
      <c r="L116">
        <v>5</v>
      </c>
      <c r="M116">
        <v>2.7</v>
      </c>
      <c r="N116">
        <v>13.96</v>
      </c>
    </row>
    <row r="117" spans="1:14">
      <c r="A117" t="s">
        <v>802</v>
      </c>
      <c r="B117" s="3">
        <v>46192</v>
      </c>
      <c r="C117" t="s">
        <v>84</v>
      </c>
      <c r="D117" t="s">
        <v>72</v>
      </c>
      <c r="E117" t="s">
        <v>120</v>
      </c>
      <c r="F117" t="s">
        <v>50</v>
      </c>
      <c r="G117">
        <v>2</v>
      </c>
      <c r="H117">
        <v>2.25</v>
      </c>
      <c r="I117" t="s">
        <v>19</v>
      </c>
      <c r="J117">
        <v>25</v>
      </c>
      <c r="K117">
        <v>0</v>
      </c>
      <c r="L117">
        <v>5</v>
      </c>
      <c r="M117">
        <v>4.5</v>
      </c>
      <c r="N117">
        <v>4.5</v>
      </c>
    </row>
    <row r="118" spans="1:14">
      <c r="A118" t="s">
        <v>803</v>
      </c>
      <c r="B118" s="3">
        <v>46203</v>
      </c>
      <c r="C118" t="s">
        <v>305</v>
      </c>
      <c r="D118" t="s">
        <v>22</v>
      </c>
      <c r="E118" t="s">
        <v>63</v>
      </c>
      <c r="F118" t="s">
        <v>50</v>
      </c>
      <c r="G118">
        <v>3</v>
      </c>
      <c r="H118">
        <v>2.97</v>
      </c>
      <c r="I118" t="s">
        <v>30</v>
      </c>
      <c r="J118">
        <v>10</v>
      </c>
      <c r="K118">
        <v>0</v>
      </c>
      <c r="L118">
        <v>6</v>
      </c>
      <c r="M118">
        <v>4.8</v>
      </c>
      <c r="N118">
        <v>8.91</v>
      </c>
    </row>
    <row r="119" spans="1:14">
      <c r="A119" t="s">
        <v>805</v>
      </c>
      <c r="B119" s="3">
        <v>46247</v>
      </c>
      <c r="C119" t="s">
        <v>36</v>
      </c>
      <c r="D119" t="s">
        <v>37</v>
      </c>
      <c r="E119" t="s">
        <v>49</v>
      </c>
      <c r="F119" t="s">
        <v>50</v>
      </c>
      <c r="G119">
        <v>1</v>
      </c>
      <c r="H119">
        <v>3.95</v>
      </c>
      <c r="I119" t="s">
        <v>19</v>
      </c>
      <c r="J119">
        <v>48</v>
      </c>
      <c r="K119">
        <v>0</v>
      </c>
      <c r="L119">
        <v>6</v>
      </c>
      <c r="M119">
        <v>4.5999999999999996</v>
      </c>
      <c r="N119">
        <v>3.95</v>
      </c>
    </row>
    <row r="120" spans="1:14">
      <c r="A120" t="s">
        <v>810</v>
      </c>
      <c r="B120" s="3">
        <v>46219</v>
      </c>
      <c r="C120" t="s">
        <v>181</v>
      </c>
      <c r="D120" t="s">
        <v>37</v>
      </c>
      <c r="E120" t="s">
        <v>49</v>
      </c>
      <c r="F120" t="s">
        <v>50</v>
      </c>
      <c r="G120">
        <v>1</v>
      </c>
      <c r="H120">
        <v>3.95</v>
      </c>
      <c r="I120" t="s">
        <v>19</v>
      </c>
      <c r="J120">
        <v>33</v>
      </c>
      <c r="K120">
        <v>1</v>
      </c>
      <c r="L120">
        <v>6</v>
      </c>
      <c r="M120">
        <v>1.8</v>
      </c>
      <c r="N120">
        <v>3.95</v>
      </c>
    </row>
    <row r="121" spans="1:14">
      <c r="A121" t="s">
        <v>816</v>
      </c>
      <c r="B121" s="3">
        <v>46218</v>
      </c>
      <c r="C121" t="s">
        <v>62</v>
      </c>
      <c r="D121" t="s">
        <v>16</v>
      </c>
      <c r="E121" t="s">
        <v>63</v>
      </c>
      <c r="F121" t="s">
        <v>50</v>
      </c>
      <c r="G121">
        <v>1</v>
      </c>
      <c r="H121">
        <v>3.49</v>
      </c>
      <c r="I121" t="s">
        <v>19</v>
      </c>
      <c r="J121">
        <v>16</v>
      </c>
      <c r="K121">
        <v>0</v>
      </c>
      <c r="L121">
        <v>9</v>
      </c>
      <c r="M121">
        <v>4.4000000000000004</v>
      </c>
      <c r="N121">
        <v>3.49</v>
      </c>
    </row>
    <row r="122" spans="1:14">
      <c r="A122" t="s">
        <v>827</v>
      </c>
      <c r="B122" s="3">
        <v>46175</v>
      </c>
      <c r="C122" t="s">
        <v>440</v>
      </c>
      <c r="D122" t="s">
        <v>22</v>
      </c>
      <c r="E122" t="s">
        <v>120</v>
      </c>
      <c r="F122" t="s">
        <v>50</v>
      </c>
      <c r="G122">
        <v>1</v>
      </c>
      <c r="H122">
        <v>2.25</v>
      </c>
      <c r="I122" t="s">
        <v>19</v>
      </c>
      <c r="J122">
        <v>16</v>
      </c>
      <c r="K122">
        <v>0</v>
      </c>
      <c r="L122">
        <v>6</v>
      </c>
      <c r="M122">
        <v>2</v>
      </c>
      <c r="N122">
        <v>2.25</v>
      </c>
    </row>
    <row r="123" spans="1:14">
      <c r="A123" t="s">
        <v>847</v>
      </c>
      <c r="B123" s="3">
        <v>46234</v>
      </c>
      <c r="C123" t="s">
        <v>178</v>
      </c>
      <c r="D123" t="s">
        <v>72</v>
      </c>
      <c r="E123" t="s">
        <v>63</v>
      </c>
      <c r="F123" t="s">
        <v>50</v>
      </c>
      <c r="G123">
        <v>2</v>
      </c>
      <c r="H123">
        <v>3.49</v>
      </c>
      <c r="I123" t="s">
        <v>19</v>
      </c>
      <c r="J123">
        <v>53</v>
      </c>
      <c r="K123">
        <v>0</v>
      </c>
      <c r="L123">
        <v>5</v>
      </c>
      <c r="M123">
        <v>3.3</v>
      </c>
      <c r="N123">
        <v>6.98</v>
      </c>
    </row>
    <row r="124" spans="1:14">
      <c r="A124" t="s">
        <v>848</v>
      </c>
      <c r="B124" s="3">
        <v>46191</v>
      </c>
      <c r="C124" t="s">
        <v>62</v>
      </c>
      <c r="D124" t="s">
        <v>37</v>
      </c>
      <c r="E124" t="s">
        <v>120</v>
      </c>
      <c r="F124" t="s">
        <v>50</v>
      </c>
      <c r="G124">
        <v>1</v>
      </c>
      <c r="H124">
        <v>2.25</v>
      </c>
      <c r="I124" t="s">
        <v>19</v>
      </c>
      <c r="J124">
        <v>20</v>
      </c>
      <c r="K124">
        <v>0</v>
      </c>
      <c r="L124">
        <v>9</v>
      </c>
      <c r="M124">
        <v>3.4</v>
      </c>
      <c r="N124">
        <v>2.25</v>
      </c>
    </row>
    <row r="125" spans="1:14">
      <c r="A125" t="s">
        <v>855</v>
      </c>
      <c r="B125" s="3">
        <v>46243</v>
      </c>
      <c r="C125" t="s">
        <v>460</v>
      </c>
      <c r="D125" t="s">
        <v>27</v>
      </c>
      <c r="E125" t="s">
        <v>49</v>
      </c>
      <c r="F125" t="s">
        <v>50</v>
      </c>
      <c r="G125">
        <v>1</v>
      </c>
      <c r="H125">
        <v>3.95</v>
      </c>
      <c r="I125" t="s">
        <v>19</v>
      </c>
      <c r="J125">
        <v>55</v>
      </c>
      <c r="K125">
        <v>0</v>
      </c>
      <c r="L125">
        <v>7</v>
      </c>
      <c r="M125">
        <v>3.8</v>
      </c>
      <c r="N125">
        <v>3.95</v>
      </c>
    </row>
    <row r="126" spans="1:14">
      <c r="A126" t="s">
        <v>858</v>
      </c>
      <c r="B126" s="3">
        <v>46197</v>
      </c>
      <c r="C126" t="s">
        <v>447</v>
      </c>
      <c r="D126" t="s">
        <v>16</v>
      </c>
      <c r="E126" t="s">
        <v>49</v>
      </c>
      <c r="F126" t="s">
        <v>50</v>
      </c>
      <c r="G126">
        <v>2</v>
      </c>
      <c r="H126">
        <v>3.95</v>
      </c>
      <c r="I126" t="s">
        <v>19</v>
      </c>
      <c r="J126">
        <v>16</v>
      </c>
      <c r="K126">
        <v>0</v>
      </c>
      <c r="L126">
        <v>4</v>
      </c>
      <c r="M126">
        <v>3.9</v>
      </c>
      <c r="N126">
        <v>7.9</v>
      </c>
    </row>
    <row r="127" spans="1:14">
      <c r="A127" t="s">
        <v>863</v>
      </c>
      <c r="B127" s="3">
        <v>46186</v>
      </c>
      <c r="C127" t="s">
        <v>340</v>
      </c>
      <c r="D127" t="s">
        <v>66</v>
      </c>
      <c r="E127" t="s">
        <v>49</v>
      </c>
      <c r="F127" t="s">
        <v>50</v>
      </c>
      <c r="G127">
        <v>1</v>
      </c>
      <c r="H127">
        <v>3.95</v>
      </c>
      <c r="I127" t="s">
        <v>19</v>
      </c>
      <c r="J127">
        <v>7</v>
      </c>
      <c r="K127">
        <v>0</v>
      </c>
      <c r="L127">
        <v>6</v>
      </c>
      <c r="M127">
        <v>4.4000000000000004</v>
      </c>
      <c r="N127">
        <v>3.95</v>
      </c>
    </row>
    <row r="128" spans="1:14">
      <c r="A128" t="s">
        <v>868</v>
      </c>
      <c r="B128" s="3">
        <v>46238</v>
      </c>
      <c r="C128" t="s">
        <v>303</v>
      </c>
      <c r="D128" t="s">
        <v>22</v>
      </c>
      <c r="E128" t="s">
        <v>63</v>
      </c>
      <c r="F128" t="s">
        <v>50</v>
      </c>
      <c r="G128">
        <v>1</v>
      </c>
      <c r="H128">
        <v>3.49</v>
      </c>
      <c r="I128" t="s">
        <v>19</v>
      </c>
      <c r="J128">
        <v>38</v>
      </c>
      <c r="K128">
        <v>0</v>
      </c>
      <c r="L128">
        <v>4</v>
      </c>
      <c r="M128">
        <v>3.8</v>
      </c>
      <c r="N128">
        <v>3.49</v>
      </c>
    </row>
    <row r="129" spans="1:14">
      <c r="A129" t="s">
        <v>873</v>
      </c>
      <c r="B129" s="3">
        <v>46204</v>
      </c>
      <c r="C129" t="s">
        <v>117</v>
      </c>
      <c r="D129" t="s">
        <v>16</v>
      </c>
      <c r="E129" t="s">
        <v>120</v>
      </c>
      <c r="F129" t="s">
        <v>50</v>
      </c>
      <c r="G129">
        <v>2</v>
      </c>
      <c r="H129">
        <v>2.25</v>
      </c>
      <c r="I129" t="s">
        <v>19</v>
      </c>
      <c r="J129">
        <v>28</v>
      </c>
      <c r="K129">
        <v>0</v>
      </c>
      <c r="L129">
        <v>6</v>
      </c>
      <c r="M129">
        <v>4.0999999999999996</v>
      </c>
      <c r="N129">
        <v>4.5</v>
      </c>
    </row>
    <row r="130" spans="1:14">
      <c r="A130" t="s">
        <v>875</v>
      </c>
      <c r="B130" s="3">
        <v>46207</v>
      </c>
      <c r="C130" t="s">
        <v>254</v>
      </c>
      <c r="D130" t="s">
        <v>66</v>
      </c>
      <c r="E130" t="s">
        <v>63</v>
      </c>
      <c r="F130" t="s">
        <v>50</v>
      </c>
      <c r="G130">
        <v>1</v>
      </c>
      <c r="H130">
        <v>2.97</v>
      </c>
      <c r="I130" t="s">
        <v>30</v>
      </c>
      <c r="J130">
        <v>38</v>
      </c>
      <c r="K130">
        <v>0</v>
      </c>
      <c r="L130">
        <v>7</v>
      </c>
      <c r="M130">
        <v>2.4</v>
      </c>
      <c r="N130">
        <v>2.97</v>
      </c>
    </row>
    <row r="131" spans="1:14">
      <c r="A131" t="s">
        <v>877</v>
      </c>
      <c r="B131" s="3">
        <v>46237</v>
      </c>
      <c r="C131" t="s">
        <v>267</v>
      </c>
      <c r="D131" t="s">
        <v>33</v>
      </c>
      <c r="E131" t="s">
        <v>63</v>
      </c>
      <c r="F131" t="s">
        <v>50</v>
      </c>
      <c r="G131">
        <v>2</v>
      </c>
      <c r="H131">
        <v>2.97</v>
      </c>
      <c r="I131" t="s">
        <v>30</v>
      </c>
      <c r="J131">
        <v>59</v>
      </c>
      <c r="K131">
        <v>0</v>
      </c>
      <c r="L131">
        <v>9</v>
      </c>
      <c r="M131">
        <v>3.8</v>
      </c>
      <c r="N131">
        <v>5.94</v>
      </c>
    </row>
    <row r="132" spans="1:14">
      <c r="A132" t="s">
        <v>882</v>
      </c>
      <c r="B132" s="3">
        <v>46262</v>
      </c>
      <c r="C132" t="s">
        <v>335</v>
      </c>
      <c r="D132" t="s">
        <v>72</v>
      </c>
      <c r="E132" t="s">
        <v>120</v>
      </c>
      <c r="F132" t="s">
        <v>50</v>
      </c>
      <c r="G132">
        <v>1</v>
      </c>
      <c r="H132">
        <v>2.25</v>
      </c>
      <c r="I132" t="s">
        <v>19</v>
      </c>
      <c r="J132">
        <v>39</v>
      </c>
      <c r="K132">
        <v>0</v>
      </c>
      <c r="L132">
        <v>9</v>
      </c>
      <c r="M132">
        <v>4.5999999999999996</v>
      </c>
      <c r="N132">
        <v>2.25</v>
      </c>
    </row>
    <row r="133" spans="1:14">
      <c r="A133" t="s">
        <v>902</v>
      </c>
      <c r="B133" s="3">
        <v>46242</v>
      </c>
      <c r="C133" t="s">
        <v>124</v>
      </c>
      <c r="D133" t="s">
        <v>66</v>
      </c>
      <c r="E133" t="s">
        <v>49</v>
      </c>
      <c r="F133" t="s">
        <v>50</v>
      </c>
      <c r="G133">
        <v>1</v>
      </c>
      <c r="H133">
        <v>3.95</v>
      </c>
      <c r="I133" t="s">
        <v>19</v>
      </c>
      <c r="J133">
        <v>3</v>
      </c>
      <c r="K133">
        <v>0</v>
      </c>
      <c r="L133">
        <v>9</v>
      </c>
      <c r="M133">
        <v>4.0999999999999996</v>
      </c>
      <c r="N133">
        <v>3.95</v>
      </c>
    </row>
    <row r="134" spans="1:14">
      <c r="A134" t="s">
        <v>907</v>
      </c>
      <c r="B134" s="3">
        <v>46263</v>
      </c>
      <c r="C134" t="s">
        <v>415</v>
      </c>
      <c r="D134" t="s">
        <v>66</v>
      </c>
      <c r="E134" t="s">
        <v>120</v>
      </c>
      <c r="F134" t="s">
        <v>50</v>
      </c>
      <c r="G134">
        <v>1</v>
      </c>
      <c r="H134">
        <v>2.25</v>
      </c>
      <c r="I134" t="s">
        <v>19</v>
      </c>
      <c r="J134">
        <v>17</v>
      </c>
      <c r="K134">
        <v>0</v>
      </c>
      <c r="L134">
        <v>4</v>
      </c>
      <c r="M134">
        <v>3.7</v>
      </c>
      <c r="N134">
        <v>2.25</v>
      </c>
    </row>
    <row r="135" spans="1:14">
      <c r="A135" t="s">
        <v>908</v>
      </c>
      <c r="B135" s="3">
        <v>46192</v>
      </c>
      <c r="C135" t="s">
        <v>176</v>
      </c>
      <c r="D135" t="s">
        <v>72</v>
      </c>
      <c r="E135" t="s">
        <v>120</v>
      </c>
      <c r="F135" t="s">
        <v>50</v>
      </c>
      <c r="G135">
        <v>2</v>
      </c>
      <c r="H135">
        <v>2.25</v>
      </c>
      <c r="I135" t="s">
        <v>19</v>
      </c>
      <c r="J135">
        <v>45</v>
      </c>
      <c r="K135">
        <v>0</v>
      </c>
      <c r="L135">
        <v>7</v>
      </c>
      <c r="M135">
        <v>2.6</v>
      </c>
      <c r="N135">
        <v>4.5</v>
      </c>
    </row>
    <row r="136" spans="1:14">
      <c r="A136" t="s">
        <v>909</v>
      </c>
      <c r="B136" s="3">
        <v>46229</v>
      </c>
      <c r="C136" t="s">
        <v>355</v>
      </c>
      <c r="D136" t="s">
        <v>27</v>
      </c>
      <c r="E136" t="s">
        <v>120</v>
      </c>
      <c r="F136" t="s">
        <v>50</v>
      </c>
      <c r="G136">
        <v>1</v>
      </c>
      <c r="H136">
        <v>2.25</v>
      </c>
      <c r="I136" t="s">
        <v>19</v>
      </c>
      <c r="J136">
        <v>42</v>
      </c>
      <c r="K136">
        <v>0</v>
      </c>
      <c r="L136">
        <v>9</v>
      </c>
      <c r="M136">
        <v>5.3</v>
      </c>
      <c r="N136">
        <v>2.25</v>
      </c>
    </row>
    <row r="137" spans="1:14">
      <c r="A137" t="s">
        <v>948</v>
      </c>
      <c r="B137" s="3">
        <v>46262</v>
      </c>
      <c r="C137" t="s">
        <v>382</v>
      </c>
      <c r="D137" t="s">
        <v>72</v>
      </c>
      <c r="E137" t="s">
        <v>63</v>
      </c>
      <c r="F137" t="s">
        <v>50</v>
      </c>
      <c r="G137">
        <v>2</v>
      </c>
      <c r="H137">
        <v>2.97</v>
      </c>
      <c r="I137" t="s">
        <v>30</v>
      </c>
      <c r="J137">
        <v>22</v>
      </c>
      <c r="K137">
        <v>0</v>
      </c>
      <c r="L137">
        <v>9</v>
      </c>
      <c r="M137">
        <v>3.8</v>
      </c>
      <c r="N137">
        <v>5.94</v>
      </c>
    </row>
    <row r="138" spans="1:14">
      <c r="A138" t="s">
        <v>949</v>
      </c>
      <c r="B138" s="3">
        <v>46192</v>
      </c>
      <c r="C138" t="s">
        <v>137</v>
      </c>
      <c r="D138" t="s">
        <v>72</v>
      </c>
      <c r="E138" t="s">
        <v>120</v>
      </c>
      <c r="F138" t="s">
        <v>50</v>
      </c>
      <c r="G138">
        <v>1</v>
      </c>
      <c r="H138">
        <v>2.25</v>
      </c>
      <c r="I138" t="s">
        <v>19</v>
      </c>
      <c r="J138">
        <v>46</v>
      </c>
      <c r="K138">
        <v>0</v>
      </c>
      <c r="L138">
        <v>6</v>
      </c>
      <c r="M138">
        <v>4.7</v>
      </c>
      <c r="N138">
        <v>2.25</v>
      </c>
    </row>
    <row r="139" spans="1:14">
      <c r="A139" t="s">
        <v>958</v>
      </c>
      <c r="B139" s="3">
        <v>46236</v>
      </c>
      <c r="C139" t="s">
        <v>590</v>
      </c>
      <c r="D139" t="s">
        <v>27</v>
      </c>
      <c r="E139" t="s">
        <v>63</v>
      </c>
      <c r="F139" t="s">
        <v>50</v>
      </c>
      <c r="G139">
        <v>1</v>
      </c>
      <c r="H139">
        <v>3.49</v>
      </c>
      <c r="I139" t="s">
        <v>19</v>
      </c>
      <c r="J139">
        <v>40</v>
      </c>
      <c r="K139">
        <v>0</v>
      </c>
      <c r="L139">
        <v>8</v>
      </c>
      <c r="M139">
        <v>4.8</v>
      </c>
      <c r="N139">
        <v>3.49</v>
      </c>
    </row>
    <row r="140" spans="1:14">
      <c r="A140" t="s">
        <v>963</v>
      </c>
      <c r="B140" s="3">
        <v>46222</v>
      </c>
      <c r="C140" t="s">
        <v>314</v>
      </c>
      <c r="D140" t="s">
        <v>27</v>
      </c>
      <c r="E140" t="s">
        <v>63</v>
      </c>
      <c r="F140" t="s">
        <v>50</v>
      </c>
      <c r="G140">
        <v>1</v>
      </c>
      <c r="H140">
        <v>3.49</v>
      </c>
      <c r="I140" t="s">
        <v>19</v>
      </c>
      <c r="J140">
        <v>23</v>
      </c>
      <c r="K140">
        <v>0</v>
      </c>
      <c r="L140">
        <v>4</v>
      </c>
      <c r="M140">
        <v>4.5999999999999996</v>
      </c>
      <c r="N140">
        <v>3.49</v>
      </c>
    </row>
    <row r="141" spans="1:14">
      <c r="A141" t="s">
        <v>964</v>
      </c>
      <c r="B141" s="3">
        <v>46195</v>
      </c>
      <c r="C141" t="s">
        <v>202</v>
      </c>
      <c r="D141" t="s">
        <v>33</v>
      </c>
      <c r="E141" t="s">
        <v>63</v>
      </c>
      <c r="F141" t="s">
        <v>50</v>
      </c>
      <c r="G141">
        <v>2</v>
      </c>
      <c r="H141">
        <v>3.49</v>
      </c>
      <c r="I141" t="s">
        <v>19</v>
      </c>
      <c r="J141">
        <v>3</v>
      </c>
      <c r="K141">
        <v>0</v>
      </c>
      <c r="L141">
        <v>7</v>
      </c>
      <c r="M141">
        <v>5.3</v>
      </c>
      <c r="N141">
        <v>6.98</v>
      </c>
    </row>
    <row r="142" spans="1:14">
      <c r="A142" t="s">
        <v>967</v>
      </c>
      <c r="B142" s="3">
        <v>46176</v>
      </c>
      <c r="C142" t="s">
        <v>318</v>
      </c>
      <c r="D142" t="s">
        <v>16</v>
      </c>
      <c r="E142" t="s">
        <v>63</v>
      </c>
      <c r="F142" t="s">
        <v>50</v>
      </c>
      <c r="G142">
        <v>1</v>
      </c>
      <c r="H142">
        <v>2.97</v>
      </c>
      <c r="I142" t="s">
        <v>30</v>
      </c>
      <c r="J142">
        <v>18</v>
      </c>
      <c r="K142">
        <v>0</v>
      </c>
      <c r="L142">
        <v>7</v>
      </c>
      <c r="M142">
        <v>4.8</v>
      </c>
      <c r="N142">
        <v>2.97</v>
      </c>
    </row>
    <row r="143" spans="1:14">
      <c r="A143" t="s">
        <v>988</v>
      </c>
      <c r="B143" s="3">
        <v>46262</v>
      </c>
      <c r="C143" t="s">
        <v>26</v>
      </c>
      <c r="D143" t="s">
        <v>72</v>
      </c>
      <c r="E143" t="s">
        <v>120</v>
      </c>
      <c r="F143" t="s">
        <v>50</v>
      </c>
      <c r="G143">
        <v>1</v>
      </c>
      <c r="H143">
        <v>2.25</v>
      </c>
      <c r="I143" t="s">
        <v>19</v>
      </c>
      <c r="J143">
        <v>26</v>
      </c>
      <c r="K143">
        <v>0</v>
      </c>
      <c r="L143">
        <v>6</v>
      </c>
      <c r="M143">
        <v>6.3</v>
      </c>
      <c r="N143">
        <v>2.25</v>
      </c>
    </row>
    <row r="144" spans="1:14">
      <c r="A144" t="s">
        <v>990</v>
      </c>
      <c r="B144" s="3">
        <v>46176</v>
      </c>
      <c r="C144" t="s">
        <v>21</v>
      </c>
      <c r="D144" t="s">
        <v>16</v>
      </c>
      <c r="E144" t="s">
        <v>63</v>
      </c>
      <c r="F144" t="s">
        <v>50</v>
      </c>
      <c r="G144">
        <v>1</v>
      </c>
      <c r="H144">
        <v>3.49</v>
      </c>
      <c r="I144" t="s">
        <v>19</v>
      </c>
      <c r="J144">
        <v>32</v>
      </c>
      <c r="K144">
        <v>0</v>
      </c>
      <c r="L144">
        <v>4</v>
      </c>
      <c r="M144">
        <v>3.8</v>
      </c>
      <c r="N144">
        <v>3.49</v>
      </c>
    </row>
    <row r="145" spans="1:14">
      <c r="A145" t="s">
        <v>994</v>
      </c>
      <c r="B145" s="3">
        <v>46207</v>
      </c>
      <c r="C145" t="s">
        <v>519</v>
      </c>
      <c r="D145" t="s">
        <v>66</v>
      </c>
      <c r="E145" t="s">
        <v>63</v>
      </c>
      <c r="F145" t="s">
        <v>50</v>
      </c>
      <c r="G145">
        <v>2</v>
      </c>
      <c r="H145">
        <v>2.97</v>
      </c>
      <c r="I145" t="s">
        <v>30</v>
      </c>
      <c r="J145">
        <v>39</v>
      </c>
      <c r="K145">
        <v>0</v>
      </c>
      <c r="L145">
        <v>9</v>
      </c>
      <c r="M145">
        <v>3.9</v>
      </c>
      <c r="N145">
        <v>5.94</v>
      </c>
    </row>
    <row r="146" spans="1:14">
      <c r="A146" t="s">
        <v>1005</v>
      </c>
      <c r="B146" s="3">
        <v>46209</v>
      </c>
      <c r="C146" t="s">
        <v>87</v>
      </c>
      <c r="D146" t="s">
        <v>33</v>
      </c>
      <c r="E146" t="s">
        <v>49</v>
      </c>
      <c r="F146" t="s">
        <v>50</v>
      </c>
      <c r="G146">
        <v>2</v>
      </c>
      <c r="H146">
        <v>3.95</v>
      </c>
      <c r="I146" t="s">
        <v>19</v>
      </c>
      <c r="J146">
        <v>44</v>
      </c>
      <c r="K146">
        <v>0</v>
      </c>
      <c r="L146">
        <v>9</v>
      </c>
      <c r="M146">
        <v>6.5</v>
      </c>
      <c r="N146">
        <v>7.9</v>
      </c>
    </row>
    <row r="147" spans="1:14">
      <c r="A147" t="s">
        <v>1034</v>
      </c>
      <c r="B147" s="3">
        <v>46231</v>
      </c>
      <c r="C147" t="s">
        <v>215</v>
      </c>
      <c r="D147" t="s">
        <v>22</v>
      </c>
      <c r="E147" t="s">
        <v>120</v>
      </c>
      <c r="F147" t="s">
        <v>50</v>
      </c>
      <c r="G147">
        <v>1</v>
      </c>
      <c r="H147">
        <v>2.25</v>
      </c>
      <c r="I147" t="s">
        <v>19</v>
      </c>
      <c r="J147">
        <v>5</v>
      </c>
      <c r="K147">
        <v>0</v>
      </c>
      <c r="L147">
        <v>8</v>
      </c>
      <c r="M147">
        <v>4.2</v>
      </c>
      <c r="N147">
        <v>2.25</v>
      </c>
    </row>
    <row r="148" spans="1:14">
      <c r="A148" t="s">
        <v>1036</v>
      </c>
      <c r="B148" s="3">
        <v>46261</v>
      </c>
      <c r="C148" t="s">
        <v>300</v>
      </c>
      <c r="D148" t="s">
        <v>37</v>
      </c>
      <c r="E148" t="s">
        <v>120</v>
      </c>
      <c r="F148" t="s">
        <v>50</v>
      </c>
      <c r="G148">
        <v>1</v>
      </c>
      <c r="H148">
        <v>2.25</v>
      </c>
      <c r="I148" t="s">
        <v>19</v>
      </c>
      <c r="J148">
        <v>10</v>
      </c>
      <c r="K148">
        <v>0</v>
      </c>
      <c r="L148">
        <v>8</v>
      </c>
      <c r="M148">
        <v>5.0999999999999996</v>
      </c>
      <c r="N148">
        <v>2.25</v>
      </c>
    </row>
    <row r="149" spans="1:14">
      <c r="A149" t="s">
        <v>1037</v>
      </c>
      <c r="B149" s="3">
        <v>46242</v>
      </c>
      <c r="C149" t="s">
        <v>168</v>
      </c>
      <c r="D149" t="s">
        <v>66</v>
      </c>
      <c r="E149" t="s">
        <v>49</v>
      </c>
      <c r="F149" t="s">
        <v>50</v>
      </c>
      <c r="G149">
        <v>1</v>
      </c>
      <c r="H149">
        <v>3.36</v>
      </c>
      <c r="I149" t="s">
        <v>30</v>
      </c>
      <c r="J149">
        <v>39</v>
      </c>
      <c r="K149">
        <v>0</v>
      </c>
      <c r="L149">
        <v>6</v>
      </c>
      <c r="M149">
        <v>3.9</v>
      </c>
      <c r="N149">
        <v>3.36</v>
      </c>
    </row>
    <row r="150" spans="1:14">
      <c r="A150" t="s">
        <v>1038</v>
      </c>
      <c r="B150" s="3">
        <v>46231</v>
      </c>
      <c r="C150" t="s">
        <v>318</v>
      </c>
      <c r="D150" t="s">
        <v>22</v>
      </c>
      <c r="E150" t="s">
        <v>49</v>
      </c>
      <c r="F150" t="s">
        <v>50</v>
      </c>
      <c r="G150">
        <v>1</v>
      </c>
      <c r="H150">
        <v>3.95</v>
      </c>
      <c r="I150" t="s">
        <v>19</v>
      </c>
      <c r="J150">
        <v>30</v>
      </c>
      <c r="K150">
        <v>0</v>
      </c>
      <c r="L150">
        <v>6</v>
      </c>
      <c r="M150">
        <v>5.6</v>
      </c>
      <c r="N150">
        <v>3.95</v>
      </c>
    </row>
    <row r="151" spans="1:14">
      <c r="A151" t="s">
        <v>1044</v>
      </c>
      <c r="B151" s="3">
        <v>46251</v>
      </c>
      <c r="C151" t="s">
        <v>71</v>
      </c>
      <c r="D151" t="s">
        <v>33</v>
      </c>
      <c r="E151" t="s">
        <v>120</v>
      </c>
      <c r="F151" t="s">
        <v>50</v>
      </c>
      <c r="G151">
        <v>1</v>
      </c>
      <c r="H151">
        <v>2.25</v>
      </c>
      <c r="I151" t="s">
        <v>19</v>
      </c>
      <c r="J151">
        <v>21</v>
      </c>
      <c r="K151">
        <v>0</v>
      </c>
      <c r="L151">
        <v>9</v>
      </c>
      <c r="M151">
        <v>4.4000000000000004</v>
      </c>
      <c r="N151">
        <v>2.25</v>
      </c>
    </row>
    <row r="152" spans="1:14">
      <c r="A152" t="s">
        <v>1049</v>
      </c>
      <c r="B152" s="3">
        <v>46244</v>
      </c>
      <c r="C152" t="s">
        <v>168</v>
      </c>
      <c r="D152" t="s">
        <v>33</v>
      </c>
      <c r="E152" t="s">
        <v>63</v>
      </c>
      <c r="F152" t="s">
        <v>50</v>
      </c>
      <c r="G152">
        <v>1</v>
      </c>
      <c r="H152">
        <v>2.97</v>
      </c>
      <c r="I152" t="s">
        <v>30</v>
      </c>
      <c r="J152">
        <v>14</v>
      </c>
      <c r="K152">
        <v>0</v>
      </c>
      <c r="L152">
        <v>8</v>
      </c>
      <c r="M152">
        <v>4.5</v>
      </c>
      <c r="N152">
        <v>2.97</v>
      </c>
    </row>
    <row r="153" spans="1:14">
      <c r="A153" t="s">
        <v>1062</v>
      </c>
      <c r="B153" s="3">
        <v>46183</v>
      </c>
      <c r="C153" t="s">
        <v>195</v>
      </c>
      <c r="D153" t="s">
        <v>16</v>
      </c>
      <c r="E153" t="s">
        <v>63</v>
      </c>
      <c r="F153" t="s">
        <v>50</v>
      </c>
      <c r="G153">
        <v>2</v>
      </c>
      <c r="H153">
        <v>2.97</v>
      </c>
      <c r="I153" t="s">
        <v>30</v>
      </c>
      <c r="J153">
        <v>29</v>
      </c>
      <c r="K153">
        <v>0</v>
      </c>
      <c r="L153">
        <v>5</v>
      </c>
      <c r="M153">
        <v>3.6</v>
      </c>
      <c r="N153">
        <v>5.94</v>
      </c>
    </row>
    <row r="154" spans="1:14">
      <c r="A154" t="s">
        <v>1069</v>
      </c>
      <c r="B154" s="3">
        <v>46216</v>
      </c>
      <c r="C154" t="s">
        <v>152</v>
      </c>
      <c r="D154" t="s">
        <v>33</v>
      </c>
      <c r="E154" t="s">
        <v>49</v>
      </c>
      <c r="F154" t="s">
        <v>50</v>
      </c>
      <c r="G154">
        <v>2</v>
      </c>
      <c r="H154">
        <v>3.36</v>
      </c>
      <c r="I154" t="s">
        <v>30</v>
      </c>
      <c r="J154">
        <v>29</v>
      </c>
      <c r="K154">
        <v>0</v>
      </c>
      <c r="L154">
        <v>7</v>
      </c>
      <c r="M154">
        <v>2.6</v>
      </c>
      <c r="N154">
        <v>6.72</v>
      </c>
    </row>
    <row r="155" spans="1:14">
      <c r="A155" t="s">
        <v>1074</v>
      </c>
      <c r="B155" s="3">
        <v>46188</v>
      </c>
      <c r="C155" t="s">
        <v>519</v>
      </c>
      <c r="D155" t="s">
        <v>33</v>
      </c>
      <c r="E155" t="s">
        <v>63</v>
      </c>
      <c r="F155" t="s">
        <v>50</v>
      </c>
      <c r="G155">
        <v>3</v>
      </c>
      <c r="H155">
        <v>3.49</v>
      </c>
      <c r="I155" t="s">
        <v>19</v>
      </c>
      <c r="J155">
        <v>56</v>
      </c>
      <c r="K155">
        <v>0</v>
      </c>
      <c r="L155">
        <v>8</v>
      </c>
      <c r="M155">
        <v>3.1</v>
      </c>
      <c r="N155">
        <v>10.47</v>
      </c>
    </row>
    <row r="156" spans="1:14">
      <c r="A156" t="s">
        <v>1078</v>
      </c>
      <c r="B156" s="3">
        <v>46188</v>
      </c>
      <c r="C156" t="s">
        <v>170</v>
      </c>
      <c r="D156" t="s">
        <v>33</v>
      </c>
      <c r="E156" t="s">
        <v>63</v>
      </c>
      <c r="F156" t="s">
        <v>50</v>
      </c>
      <c r="G156">
        <v>1</v>
      </c>
      <c r="H156">
        <v>3.49</v>
      </c>
      <c r="I156" t="s">
        <v>19</v>
      </c>
      <c r="J156">
        <v>27</v>
      </c>
      <c r="K156">
        <v>0</v>
      </c>
      <c r="L156">
        <v>7</v>
      </c>
      <c r="M156">
        <v>4.5999999999999996</v>
      </c>
      <c r="N156">
        <v>3.49</v>
      </c>
    </row>
    <row r="157" spans="1:14">
      <c r="A157" t="s">
        <v>1085</v>
      </c>
      <c r="B157" s="3">
        <v>46236</v>
      </c>
      <c r="C157" t="s">
        <v>211</v>
      </c>
      <c r="D157" t="s">
        <v>27</v>
      </c>
      <c r="E157" t="s">
        <v>63</v>
      </c>
      <c r="F157" t="s">
        <v>50</v>
      </c>
      <c r="G157">
        <v>1</v>
      </c>
      <c r="H157">
        <v>3.49</v>
      </c>
      <c r="I157" t="s">
        <v>19</v>
      </c>
      <c r="J157">
        <v>34</v>
      </c>
      <c r="K157">
        <v>0</v>
      </c>
      <c r="L157">
        <v>5</v>
      </c>
      <c r="M157">
        <v>4.3</v>
      </c>
      <c r="N157">
        <v>3.49</v>
      </c>
    </row>
    <row r="158" spans="1:14">
      <c r="A158" t="s">
        <v>1086</v>
      </c>
      <c r="B158" s="3">
        <v>46235</v>
      </c>
      <c r="C158" t="s">
        <v>130</v>
      </c>
      <c r="D158" t="s">
        <v>66</v>
      </c>
      <c r="E158" t="s">
        <v>63</v>
      </c>
      <c r="F158" t="s">
        <v>50</v>
      </c>
      <c r="G158">
        <v>1</v>
      </c>
      <c r="H158">
        <v>3.49</v>
      </c>
      <c r="I158" t="s">
        <v>19</v>
      </c>
      <c r="J158">
        <v>16</v>
      </c>
      <c r="K158">
        <v>0</v>
      </c>
      <c r="L158">
        <v>6</v>
      </c>
      <c r="M158">
        <v>3.4</v>
      </c>
      <c r="N158">
        <v>3.49</v>
      </c>
    </row>
    <row r="159" spans="1:14">
      <c r="A159" t="s">
        <v>1087</v>
      </c>
      <c r="B159" s="3">
        <v>46190</v>
      </c>
      <c r="C159" t="s">
        <v>460</v>
      </c>
      <c r="D159" t="s">
        <v>16</v>
      </c>
      <c r="E159" t="s">
        <v>120</v>
      </c>
      <c r="F159" t="s">
        <v>50</v>
      </c>
      <c r="G159">
        <v>2</v>
      </c>
      <c r="H159">
        <v>2.25</v>
      </c>
      <c r="I159" t="s">
        <v>19</v>
      </c>
      <c r="J159">
        <v>45</v>
      </c>
      <c r="K159">
        <v>0</v>
      </c>
      <c r="L159">
        <v>7</v>
      </c>
      <c r="M159">
        <v>5.9</v>
      </c>
      <c r="N159">
        <v>4.5</v>
      </c>
    </row>
    <row r="160" spans="1:14">
      <c r="A160" t="s">
        <v>1092</v>
      </c>
      <c r="B160" s="3">
        <v>46239</v>
      </c>
      <c r="C160" t="s">
        <v>1093</v>
      </c>
      <c r="D160" t="s">
        <v>16</v>
      </c>
      <c r="E160" t="s">
        <v>120</v>
      </c>
      <c r="F160" t="s">
        <v>50</v>
      </c>
      <c r="G160">
        <v>1</v>
      </c>
      <c r="H160">
        <v>2.25</v>
      </c>
      <c r="I160" t="s">
        <v>19</v>
      </c>
      <c r="J160">
        <v>57</v>
      </c>
      <c r="K160">
        <v>0</v>
      </c>
      <c r="L160">
        <v>4</v>
      </c>
      <c r="M160">
        <v>4.5999999999999996</v>
      </c>
      <c r="N160">
        <v>2.25</v>
      </c>
    </row>
    <row r="161" spans="1:14">
      <c r="A161" t="s">
        <v>1094</v>
      </c>
      <c r="B161" s="3">
        <v>46176</v>
      </c>
      <c r="C161" t="s">
        <v>144</v>
      </c>
      <c r="D161" t="s">
        <v>16</v>
      </c>
      <c r="E161" t="s">
        <v>49</v>
      </c>
      <c r="F161" t="s">
        <v>50</v>
      </c>
      <c r="G161">
        <v>4</v>
      </c>
      <c r="H161">
        <v>3.36</v>
      </c>
      <c r="I161" t="s">
        <v>30</v>
      </c>
      <c r="J161">
        <v>16</v>
      </c>
      <c r="K161">
        <v>0</v>
      </c>
      <c r="L161">
        <v>6</v>
      </c>
      <c r="M161">
        <v>3</v>
      </c>
      <c r="N161">
        <v>13.44</v>
      </c>
    </row>
    <row r="162" spans="1:14">
      <c r="A162" t="s">
        <v>1097</v>
      </c>
      <c r="B162" s="3">
        <v>46224</v>
      </c>
      <c r="C162" t="s">
        <v>21</v>
      </c>
      <c r="D162" t="s">
        <v>22</v>
      </c>
      <c r="E162" t="s">
        <v>49</v>
      </c>
      <c r="F162" t="s">
        <v>50</v>
      </c>
      <c r="G162">
        <v>2</v>
      </c>
      <c r="H162">
        <v>3.95</v>
      </c>
      <c r="I162" t="s">
        <v>19</v>
      </c>
      <c r="J162">
        <v>24</v>
      </c>
      <c r="K162">
        <v>1</v>
      </c>
      <c r="L162">
        <v>5</v>
      </c>
      <c r="M162">
        <v>4.5999999999999996</v>
      </c>
      <c r="N162">
        <v>7.9</v>
      </c>
    </row>
    <row r="163" spans="1:14">
      <c r="A163" t="s">
        <v>1106</v>
      </c>
      <c r="B163" s="3">
        <v>46230</v>
      </c>
      <c r="C163" t="s">
        <v>93</v>
      </c>
      <c r="D163" t="s">
        <v>33</v>
      </c>
      <c r="E163" t="s">
        <v>63</v>
      </c>
      <c r="F163" t="s">
        <v>50</v>
      </c>
      <c r="G163">
        <v>2</v>
      </c>
      <c r="H163">
        <v>3.49</v>
      </c>
      <c r="I163" t="s">
        <v>19</v>
      </c>
      <c r="J163">
        <v>8</v>
      </c>
      <c r="K163">
        <v>0</v>
      </c>
      <c r="L163">
        <v>7</v>
      </c>
      <c r="M163">
        <v>2.8</v>
      </c>
      <c r="N163">
        <v>6.98</v>
      </c>
    </row>
    <row r="164" spans="1:14">
      <c r="A164" t="s">
        <v>1112</v>
      </c>
      <c r="B164" s="3">
        <v>46240</v>
      </c>
      <c r="C164" t="s">
        <v>204</v>
      </c>
      <c r="D164" t="s">
        <v>37</v>
      </c>
      <c r="E164" t="s">
        <v>49</v>
      </c>
      <c r="F164" t="s">
        <v>50</v>
      </c>
      <c r="G164">
        <v>2</v>
      </c>
      <c r="H164">
        <v>3.95</v>
      </c>
      <c r="I164" t="s">
        <v>19</v>
      </c>
      <c r="J164">
        <v>52</v>
      </c>
      <c r="K164">
        <v>0</v>
      </c>
      <c r="L164">
        <v>7</v>
      </c>
      <c r="M164">
        <v>2.1</v>
      </c>
      <c r="N164">
        <v>7.9</v>
      </c>
    </row>
    <row r="165" spans="1:14">
      <c r="A165" t="s">
        <v>1120</v>
      </c>
      <c r="B165" s="3">
        <v>46240</v>
      </c>
      <c r="C165" t="s">
        <v>101</v>
      </c>
      <c r="D165" t="s">
        <v>37</v>
      </c>
      <c r="E165" t="s">
        <v>49</v>
      </c>
      <c r="F165" t="s">
        <v>50</v>
      </c>
      <c r="G165">
        <v>2</v>
      </c>
      <c r="H165">
        <v>3.95</v>
      </c>
      <c r="I165" t="s">
        <v>19</v>
      </c>
      <c r="J165">
        <v>12</v>
      </c>
      <c r="K165">
        <v>1</v>
      </c>
      <c r="L165">
        <v>7</v>
      </c>
      <c r="M165">
        <v>1.1000000000000001</v>
      </c>
      <c r="N165">
        <v>7.9</v>
      </c>
    </row>
    <row r="166" spans="1:14">
      <c r="A166" t="s">
        <v>1132</v>
      </c>
      <c r="B166" s="3">
        <v>46234</v>
      </c>
      <c r="C166" t="s">
        <v>119</v>
      </c>
      <c r="D166" t="s">
        <v>72</v>
      </c>
      <c r="E166" t="s">
        <v>120</v>
      </c>
      <c r="F166" t="s">
        <v>50</v>
      </c>
      <c r="G166">
        <v>2</v>
      </c>
      <c r="H166">
        <v>1.91</v>
      </c>
      <c r="I166" t="s">
        <v>30</v>
      </c>
      <c r="J166">
        <v>16</v>
      </c>
      <c r="K166">
        <v>0</v>
      </c>
      <c r="L166">
        <v>7</v>
      </c>
      <c r="M166">
        <v>1.6</v>
      </c>
      <c r="N166">
        <v>3.82</v>
      </c>
    </row>
    <row r="167" spans="1:14">
      <c r="A167" t="s">
        <v>1138</v>
      </c>
      <c r="B167" s="3">
        <v>46221</v>
      </c>
      <c r="C167" t="s">
        <v>275</v>
      </c>
      <c r="D167" t="s">
        <v>66</v>
      </c>
      <c r="E167" t="s">
        <v>49</v>
      </c>
      <c r="F167" t="s">
        <v>50</v>
      </c>
      <c r="G167">
        <v>1</v>
      </c>
      <c r="H167">
        <v>3.95</v>
      </c>
      <c r="I167" t="s">
        <v>19</v>
      </c>
      <c r="J167">
        <v>21</v>
      </c>
      <c r="K167">
        <v>0</v>
      </c>
      <c r="L167">
        <v>4</v>
      </c>
      <c r="M167">
        <v>4.7</v>
      </c>
      <c r="N167">
        <v>3.95</v>
      </c>
    </row>
    <row r="168" spans="1:14">
      <c r="A168" t="s">
        <v>1154</v>
      </c>
      <c r="B168" s="3">
        <v>46257</v>
      </c>
      <c r="C168" t="s">
        <v>672</v>
      </c>
      <c r="D168" t="s">
        <v>27</v>
      </c>
      <c r="E168" t="s">
        <v>49</v>
      </c>
      <c r="F168" t="s">
        <v>50</v>
      </c>
      <c r="G168">
        <v>1</v>
      </c>
      <c r="H168">
        <v>3.95</v>
      </c>
      <c r="I168" t="s">
        <v>19</v>
      </c>
      <c r="J168">
        <v>20</v>
      </c>
      <c r="K168">
        <v>0</v>
      </c>
      <c r="L168">
        <v>5</v>
      </c>
      <c r="M168">
        <v>4</v>
      </c>
      <c r="N168">
        <v>3.95</v>
      </c>
    </row>
    <row r="169" spans="1:14">
      <c r="A169" t="s">
        <v>1155</v>
      </c>
      <c r="B169" s="3">
        <v>46221</v>
      </c>
      <c r="C169" t="s">
        <v>489</v>
      </c>
      <c r="D169" t="s">
        <v>66</v>
      </c>
      <c r="E169" t="s">
        <v>120</v>
      </c>
      <c r="F169" t="s">
        <v>50</v>
      </c>
      <c r="G169">
        <v>1</v>
      </c>
      <c r="H169">
        <v>2.25</v>
      </c>
      <c r="I169" t="s">
        <v>19</v>
      </c>
      <c r="J169">
        <v>7</v>
      </c>
      <c r="K169">
        <v>0</v>
      </c>
      <c r="L169">
        <v>5</v>
      </c>
      <c r="M169">
        <v>3.1</v>
      </c>
      <c r="N169">
        <v>2.25</v>
      </c>
    </row>
    <row r="170" spans="1:14">
      <c r="A170" t="s">
        <v>1165</v>
      </c>
      <c r="B170" s="3">
        <v>46259</v>
      </c>
      <c r="C170" t="s">
        <v>110</v>
      </c>
      <c r="D170" t="s">
        <v>22</v>
      </c>
      <c r="E170" t="s">
        <v>49</v>
      </c>
      <c r="F170" t="s">
        <v>50</v>
      </c>
      <c r="G170">
        <v>2</v>
      </c>
      <c r="H170">
        <v>3.95</v>
      </c>
      <c r="I170" t="s">
        <v>19</v>
      </c>
      <c r="J170">
        <v>44</v>
      </c>
      <c r="K170">
        <v>0</v>
      </c>
      <c r="L170">
        <v>7</v>
      </c>
      <c r="M170">
        <v>5.4</v>
      </c>
      <c r="N170">
        <v>7.9</v>
      </c>
    </row>
    <row r="171" spans="1:14">
      <c r="A171" t="s">
        <v>1170</v>
      </c>
      <c r="B171" s="3">
        <v>46177</v>
      </c>
      <c r="C171" t="s">
        <v>297</v>
      </c>
      <c r="D171" t="s">
        <v>37</v>
      </c>
      <c r="E171" t="s">
        <v>120</v>
      </c>
      <c r="F171" t="s">
        <v>50</v>
      </c>
      <c r="G171">
        <v>3</v>
      </c>
      <c r="H171">
        <v>2.25</v>
      </c>
      <c r="I171" t="s">
        <v>19</v>
      </c>
      <c r="J171">
        <v>12</v>
      </c>
      <c r="K171">
        <v>0</v>
      </c>
      <c r="L171">
        <v>6</v>
      </c>
      <c r="M171">
        <v>4.5</v>
      </c>
      <c r="N171">
        <v>6.75</v>
      </c>
    </row>
    <row r="172" spans="1:14">
      <c r="A172" t="s">
        <v>1171</v>
      </c>
      <c r="B172" s="3">
        <v>46260</v>
      </c>
      <c r="C172" t="s">
        <v>443</v>
      </c>
      <c r="D172" t="s">
        <v>16</v>
      </c>
      <c r="E172" t="s">
        <v>49</v>
      </c>
      <c r="F172" t="s">
        <v>50</v>
      </c>
      <c r="G172">
        <v>2</v>
      </c>
      <c r="H172">
        <v>3.95</v>
      </c>
      <c r="I172" t="s">
        <v>19</v>
      </c>
      <c r="J172">
        <v>7</v>
      </c>
      <c r="K172">
        <v>0</v>
      </c>
      <c r="L172">
        <v>6</v>
      </c>
      <c r="M172">
        <v>4.0999999999999996</v>
      </c>
      <c r="N172">
        <v>7.9</v>
      </c>
    </row>
    <row r="173" spans="1:14">
      <c r="A173" t="s">
        <v>1178</v>
      </c>
      <c r="B173" s="3">
        <v>46212</v>
      </c>
      <c r="C173" t="s">
        <v>443</v>
      </c>
      <c r="D173" t="s">
        <v>37</v>
      </c>
      <c r="E173" t="s">
        <v>63</v>
      </c>
      <c r="F173" t="s">
        <v>50</v>
      </c>
      <c r="G173">
        <v>1</v>
      </c>
      <c r="H173">
        <v>3.49</v>
      </c>
      <c r="I173" t="s">
        <v>19</v>
      </c>
      <c r="J173">
        <v>47</v>
      </c>
      <c r="K173">
        <v>0</v>
      </c>
      <c r="L173">
        <v>7</v>
      </c>
      <c r="M173">
        <v>4.0999999999999996</v>
      </c>
      <c r="N173">
        <v>3.49</v>
      </c>
    </row>
    <row r="174" spans="1:14">
      <c r="A174" t="s">
        <v>1186</v>
      </c>
      <c r="B174" s="3">
        <v>46259</v>
      </c>
      <c r="C174" t="s">
        <v>388</v>
      </c>
      <c r="D174" t="s">
        <v>22</v>
      </c>
      <c r="E174" t="s">
        <v>63</v>
      </c>
      <c r="F174" t="s">
        <v>50</v>
      </c>
      <c r="G174">
        <v>1</v>
      </c>
      <c r="H174">
        <v>2.97</v>
      </c>
      <c r="I174" t="s">
        <v>30</v>
      </c>
      <c r="J174">
        <v>8</v>
      </c>
      <c r="K174">
        <v>0</v>
      </c>
      <c r="L174">
        <v>9</v>
      </c>
      <c r="M174">
        <v>2.7</v>
      </c>
      <c r="N174">
        <v>2.97</v>
      </c>
    </row>
    <row r="175" spans="1:14">
      <c r="A175" t="s">
        <v>1196</v>
      </c>
      <c r="B175" s="3">
        <v>46175</v>
      </c>
      <c r="C175" t="s">
        <v>26</v>
      </c>
      <c r="D175" t="s">
        <v>22</v>
      </c>
      <c r="E175" t="s">
        <v>49</v>
      </c>
      <c r="F175" t="s">
        <v>50</v>
      </c>
      <c r="G175">
        <v>1</v>
      </c>
      <c r="H175">
        <v>3.36</v>
      </c>
      <c r="I175" t="s">
        <v>30</v>
      </c>
      <c r="J175">
        <v>57</v>
      </c>
      <c r="K175">
        <v>1</v>
      </c>
      <c r="L175">
        <v>6</v>
      </c>
      <c r="M175">
        <v>6.3</v>
      </c>
      <c r="N175">
        <v>3.36</v>
      </c>
    </row>
    <row r="176" spans="1:14">
      <c r="A176" t="s">
        <v>1203</v>
      </c>
      <c r="B176" s="3">
        <v>46242</v>
      </c>
      <c r="C176" t="s">
        <v>232</v>
      </c>
      <c r="D176" t="s">
        <v>66</v>
      </c>
      <c r="E176" t="s">
        <v>49</v>
      </c>
      <c r="F176" t="s">
        <v>50</v>
      </c>
      <c r="G176">
        <v>1</v>
      </c>
      <c r="H176">
        <v>3.95</v>
      </c>
      <c r="I176" t="s">
        <v>19</v>
      </c>
      <c r="J176">
        <v>51</v>
      </c>
      <c r="K176">
        <v>0</v>
      </c>
      <c r="L176">
        <v>8</v>
      </c>
      <c r="M176">
        <v>5.4</v>
      </c>
      <c r="N176">
        <v>3.95</v>
      </c>
    </row>
    <row r="177" spans="1:14">
      <c r="A177" t="s">
        <v>1215</v>
      </c>
      <c r="B177" s="3">
        <v>46196</v>
      </c>
      <c r="C177" t="s">
        <v>247</v>
      </c>
      <c r="D177" t="s">
        <v>22</v>
      </c>
      <c r="E177" t="s">
        <v>63</v>
      </c>
      <c r="F177" t="s">
        <v>50</v>
      </c>
      <c r="G177">
        <v>1</v>
      </c>
      <c r="H177">
        <v>3.49</v>
      </c>
      <c r="I177" t="s">
        <v>19</v>
      </c>
      <c r="J177">
        <v>18</v>
      </c>
      <c r="K177">
        <v>0</v>
      </c>
      <c r="L177">
        <v>6</v>
      </c>
      <c r="M177">
        <v>3.3</v>
      </c>
      <c r="N177">
        <v>3.49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F3CA-CA71-4FF0-B007-84472DF4944F}">
  <dimension ref="A3:B10"/>
  <sheetViews>
    <sheetView tabSelected="1" zoomScale="98" workbookViewId="0">
      <selection activeCell="C11" sqref="C11"/>
    </sheetView>
  </sheetViews>
  <sheetFormatPr defaultRowHeight="14"/>
  <cols>
    <col min="1" max="1" width="13.1640625" bestFit="1" customWidth="1"/>
    <col min="2" max="5" width="20.83203125" bestFit="1" customWidth="1"/>
  </cols>
  <sheetData>
    <row r="3" spans="1:2">
      <c r="A3" s="7" t="s">
        <v>1257</v>
      </c>
      <c r="B3" t="s">
        <v>1277</v>
      </c>
    </row>
    <row r="4" spans="1:2">
      <c r="A4" s="8" t="s">
        <v>24</v>
      </c>
      <c r="B4" s="11">
        <v>92</v>
      </c>
    </row>
    <row r="5" spans="1:2">
      <c r="A5" s="8" t="s">
        <v>43</v>
      </c>
      <c r="B5" s="11">
        <v>81</v>
      </c>
    </row>
    <row r="6" spans="1:2">
      <c r="A6" s="8" t="s">
        <v>50</v>
      </c>
      <c r="B6" s="11">
        <v>12</v>
      </c>
    </row>
    <row r="7" spans="1:2">
      <c r="A7" s="8" t="s">
        <v>18</v>
      </c>
      <c r="B7" s="11">
        <v>11</v>
      </c>
    </row>
    <row r="8" spans="1:2">
      <c r="A8" s="8" t="s">
        <v>29</v>
      </c>
      <c r="B8" s="11">
        <v>10</v>
      </c>
    </row>
    <row r="9" spans="1:2">
      <c r="A9" s="8" t="s">
        <v>39</v>
      </c>
      <c r="B9" s="11">
        <v>9</v>
      </c>
    </row>
    <row r="10" spans="1:2">
      <c r="A10" s="8" t="s">
        <v>1258</v>
      </c>
      <c r="B10" s="11">
        <v>215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C7ED-FDDF-4B51-82D1-66CE33C61878}">
  <dimension ref="A3:C11"/>
  <sheetViews>
    <sheetView workbookViewId="0">
      <selection activeCell="B5" sqref="B5"/>
    </sheetView>
  </sheetViews>
  <sheetFormatPr defaultRowHeight="14"/>
  <cols>
    <col min="1" max="1" width="12.9140625" bestFit="1" customWidth="1"/>
    <col min="2" max="2" width="21.25" bestFit="1" customWidth="1"/>
    <col min="3" max="3" width="17.75" bestFit="1" customWidth="1"/>
  </cols>
  <sheetData>
    <row r="3" spans="1:3">
      <c r="A3" s="7" t="s">
        <v>1257</v>
      </c>
      <c r="B3" t="s">
        <v>1260</v>
      </c>
      <c r="C3" t="s">
        <v>1259</v>
      </c>
    </row>
    <row r="4" spans="1:3">
      <c r="A4" s="8" t="s">
        <v>66</v>
      </c>
      <c r="B4">
        <v>171</v>
      </c>
      <c r="C4" s="4">
        <v>590.1500000000002</v>
      </c>
    </row>
    <row r="5" spans="1:3">
      <c r="A5" s="8" t="s">
        <v>22</v>
      </c>
      <c r="B5">
        <v>147</v>
      </c>
      <c r="C5" s="4">
        <v>545.21000000000026</v>
      </c>
    </row>
    <row r="6" spans="1:3">
      <c r="A6" s="8" t="s">
        <v>33</v>
      </c>
      <c r="B6">
        <v>138</v>
      </c>
      <c r="C6" s="4">
        <v>530.16000000000042</v>
      </c>
    </row>
    <row r="7" spans="1:3">
      <c r="A7" s="8" t="s">
        <v>27</v>
      </c>
      <c r="B7">
        <v>147</v>
      </c>
      <c r="C7" s="4">
        <v>515.72</v>
      </c>
    </row>
    <row r="8" spans="1:3">
      <c r="A8" s="8" t="s">
        <v>37</v>
      </c>
      <c r="B8">
        <v>135</v>
      </c>
      <c r="C8" s="4">
        <v>499.54000000000013</v>
      </c>
    </row>
    <row r="9" spans="1:3">
      <c r="A9" s="8" t="s">
        <v>72</v>
      </c>
      <c r="B9">
        <v>132</v>
      </c>
      <c r="C9" s="4">
        <v>495.17000000000024</v>
      </c>
    </row>
    <row r="10" spans="1:3">
      <c r="A10" s="8" t="s">
        <v>16</v>
      </c>
      <c r="B10">
        <v>130</v>
      </c>
      <c r="C10" s="4">
        <v>439.76000000000005</v>
      </c>
    </row>
    <row r="11" spans="1:3">
      <c r="A11" s="8" t="s">
        <v>1258</v>
      </c>
      <c r="B11">
        <v>1000</v>
      </c>
      <c r="C11" s="4">
        <v>3615.7099999999805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H1" workbookViewId="0">
      <selection activeCell="P3" sqref="P3"/>
    </sheetView>
  </sheetViews>
  <sheetFormatPr defaultRowHeight="14"/>
  <cols>
    <col min="1" max="1" width="16" customWidth="1"/>
    <col min="2" max="2" width="12" customWidth="1"/>
    <col min="3" max="3" width="9" customWidth="1"/>
    <col min="4" max="4" width="12" customWidth="1"/>
    <col min="5" max="5" width="22" customWidth="1"/>
    <col min="6" max="6" width="18" customWidth="1"/>
    <col min="7" max="7" width="10" customWidth="1"/>
    <col min="8" max="8" width="13" customWidth="1"/>
    <col min="9" max="9" width="11" customWidth="1"/>
    <col min="10" max="10" width="17" customWidth="1"/>
    <col min="11" max="11" width="15" customWidth="1"/>
    <col min="12" max="12" width="14" customWidth="1"/>
    <col min="13" max="13" width="20" customWidth="1"/>
    <col min="14" max="14" width="13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1276</v>
      </c>
    </row>
    <row r="2" spans="1:15">
      <c r="A2" t="s">
        <v>14</v>
      </c>
      <c r="B2" s="3">
        <v>46183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 s="4">
        <v>1.75</v>
      </c>
      <c r="I2" t="s">
        <v>19</v>
      </c>
      <c r="J2">
        <v>34</v>
      </c>
      <c r="K2">
        <v>0</v>
      </c>
      <c r="L2">
        <v>5</v>
      </c>
      <c r="M2" s="5">
        <v>4.3</v>
      </c>
      <c r="N2" s="4">
        <f t="shared" ref="N2:N65" si="0">G2*H2</f>
        <v>3.5</v>
      </c>
      <c r="O2">
        <f>HOUR(TIMEVALUE(RetailTransactions[[#This Row],[Time]]))</f>
        <v>16</v>
      </c>
    </row>
    <row r="3" spans="1:15">
      <c r="A3" t="s">
        <v>20</v>
      </c>
      <c r="B3" s="3">
        <v>46210</v>
      </c>
      <c r="C3" t="s">
        <v>21</v>
      </c>
      <c r="D3" t="s">
        <v>22</v>
      </c>
      <c r="E3" t="s">
        <v>23</v>
      </c>
      <c r="F3" t="s">
        <v>24</v>
      </c>
      <c r="G3">
        <v>1</v>
      </c>
      <c r="H3" s="4">
        <v>0.95</v>
      </c>
      <c r="I3" t="s">
        <v>19</v>
      </c>
      <c r="J3">
        <v>18</v>
      </c>
      <c r="K3">
        <v>0</v>
      </c>
      <c r="L3">
        <v>4</v>
      </c>
      <c r="M3" s="5">
        <v>3.6</v>
      </c>
      <c r="N3" s="4">
        <f t="shared" si="0"/>
        <v>0.95</v>
      </c>
      <c r="O3">
        <f>HOUR(TIMEVALUE(RetailTransactions[[#This Row],[Time]]))</f>
        <v>16</v>
      </c>
    </row>
    <row r="4" spans="1:15">
      <c r="A4" t="s">
        <v>25</v>
      </c>
      <c r="B4" s="3">
        <v>46264</v>
      </c>
      <c r="C4" t="s">
        <v>26</v>
      </c>
      <c r="D4" t="s">
        <v>27</v>
      </c>
      <c r="E4" t="s">
        <v>28</v>
      </c>
      <c r="F4" t="s">
        <v>29</v>
      </c>
      <c r="G4">
        <v>4</v>
      </c>
      <c r="H4" s="4">
        <v>2.8</v>
      </c>
      <c r="I4" t="s">
        <v>30</v>
      </c>
      <c r="J4">
        <v>52</v>
      </c>
      <c r="K4">
        <v>0</v>
      </c>
      <c r="L4">
        <v>7</v>
      </c>
      <c r="M4" s="5">
        <v>6.3</v>
      </c>
      <c r="N4" s="4">
        <f t="shared" si="0"/>
        <v>11.2</v>
      </c>
      <c r="O4">
        <f>HOUR(TIMEVALUE(RetailTransactions[[#This Row],[Time]]))</f>
        <v>13</v>
      </c>
    </row>
    <row r="5" spans="1:15">
      <c r="A5" t="s">
        <v>31</v>
      </c>
      <c r="B5" s="3">
        <v>46223</v>
      </c>
      <c r="C5" t="s">
        <v>32</v>
      </c>
      <c r="D5" t="s">
        <v>33</v>
      </c>
      <c r="E5" t="s">
        <v>34</v>
      </c>
      <c r="F5" t="s">
        <v>24</v>
      </c>
      <c r="G5">
        <v>2</v>
      </c>
      <c r="H5" s="4">
        <v>1.49</v>
      </c>
      <c r="I5" t="s">
        <v>19</v>
      </c>
      <c r="J5">
        <v>3</v>
      </c>
      <c r="K5">
        <v>0</v>
      </c>
      <c r="L5">
        <v>7</v>
      </c>
      <c r="M5" s="5">
        <v>1.7</v>
      </c>
      <c r="N5" s="4">
        <f t="shared" si="0"/>
        <v>2.98</v>
      </c>
      <c r="O5">
        <f>HOUR(TIMEVALUE(RetailTransactions[[#This Row],[Time]]))</f>
        <v>21</v>
      </c>
    </row>
    <row r="6" spans="1:15">
      <c r="A6" t="s">
        <v>35</v>
      </c>
      <c r="B6" s="3">
        <v>46177</v>
      </c>
      <c r="C6" t="s">
        <v>36</v>
      </c>
      <c r="D6" t="s">
        <v>37</v>
      </c>
      <c r="E6" t="s">
        <v>38</v>
      </c>
      <c r="F6" t="s">
        <v>39</v>
      </c>
      <c r="G6">
        <v>1</v>
      </c>
      <c r="H6" s="4">
        <v>2.79</v>
      </c>
      <c r="I6" t="s">
        <v>19</v>
      </c>
      <c r="J6">
        <v>28</v>
      </c>
      <c r="K6">
        <v>0</v>
      </c>
      <c r="L6">
        <v>8</v>
      </c>
      <c r="M6" s="5">
        <v>5.7</v>
      </c>
      <c r="N6" s="4">
        <f t="shared" si="0"/>
        <v>2.79</v>
      </c>
      <c r="O6">
        <f>HOUR(TIMEVALUE(RetailTransactions[[#This Row],[Time]]))</f>
        <v>12</v>
      </c>
    </row>
    <row r="7" spans="1:15">
      <c r="A7" t="s">
        <v>40</v>
      </c>
      <c r="B7" s="3">
        <v>46191</v>
      </c>
      <c r="C7" t="s">
        <v>41</v>
      </c>
      <c r="D7" t="s">
        <v>37</v>
      </c>
      <c r="E7" t="s">
        <v>42</v>
      </c>
      <c r="F7" t="s">
        <v>43</v>
      </c>
      <c r="G7">
        <v>3</v>
      </c>
      <c r="H7" s="4">
        <v>1.39</v>
      </c>
      <c r="I7" t="s">
        <v>19</v>
      </c>
      <c r="J7">
        <v>30</v>
      </c>
      <c r="K7">
        <v>0</v>
      </c>
      <c r="L7">
        <v>4</v>
      </c>
      <c r="M7" s="5">
        <v>3.5</v>
      </c>
      <c r="N7" s="4">
        <f t="shared" si="0"/>
        <v>4.17</v>
      </c>
      <c r="O7">
        <f>HOUR(TIMEVALUE(RetailTransactions[[#This Row],[Time]]))</f>
        <v>15</v>
      </c>
    </row>
    <row r="8" spans="1:15">
      <c r="A8" t="s">
        <v>44</v>
      </c>
      <c r="B8" s="3">
        <v>46230</v>
      </c>
      <c r="C8" t="s">
        <v>45</v>
      </c>
      <c r="D8" t="s">
        <v>33</v>
      </c>
      <c r="E8" t="s">
        <v>46</v>
      </c>
      <c r="F8" t="s">
        <v>24</v>
      </c>
      <c r="G8">
        <v>3</v>
      </c>
      <c r="H8" s="4">
        <v>1.79</v>
      </c>
      <c r="I8" t="s">
        <v>19</v>
      </c>
      <c r="J8">
        <v>18</v>
      </c>
      <c r="K8">
        <v>0</v>
      </c>
      <c r="L8">
        <v>9</v>
      </c>
      <c r="M8" s="5">
        <v>4.9000000000000004</v>
      </c>
      <c r="N8" s="4">
        <f t="shared" si="0"/>
        <v>5.37</v>
      </c>
      <c r="O8">
        <f>HOUR(TIMEVALUE(RetailTransactions[[#This Row],[Time]]))</f>
        <v>13</v>
      </c>
    </row>
    <row r="9" spans="1:15">
      <c r="A9" t="s">
        <v>47</v>
      </c>
      <c r="B9" s="3">
        <v>46238</v>
      </c>
      <c r="C9" t="s">
        <v>48</v>
      </c>
      <c r="D9" t="s">
        <v>22</v>
      </c>
      <c r="E9" t="s">
        <v>49</v>
      </c>
      <c r="F9" t="s">
        <v>50</v>
      </c>
      <c r="G9">
        <v>1</v>
      </c>
      <c r="H9" s="4">
        <v>3.36</v>
      </c>
      <c r="I9" t="s">
        <v>30</v>
      </c>
      <c r="J9">
        <v>20</v>
      </c>
      <c r="K9">
        <v>0</v>
      </c>
      <c r="L9">
        <v>7</v>
      </c>
      <c r="M9" s="5">
        <v>3.8</v>
      </c>
      <c r="N9" s="4">
        <f t="shared" si="0"/>
        <v>3.36</v>
      </c>
      <c r="O9">
        <f>HOUR(TIMEVALUE(RetailTransactions[[#This Row],[Time]]))</f>
        <v>17</v>
      </c>
    </row>
    <row r="10" spans="1:15">
      <c r="A10" t="s">
        <v>51</v>
      </c>
      <c r="B10" s="3">
        <v>46211</v>
      </c>
      <c r="C10" t="s">
        <v>52</v>
      </c>
      <c r="D10" t="s">
        <v>16</v>
      </c>
      <c r="E10" t="s">
        <v>38</v>
      </c>
      <c r="F10" t="s">
        <v>39</v>
      </c>
      <c r="G10">
        <v>3</v>
      </c>
      <c r="H10" s="4">
        <v>2.79</v>
      </c>
      <c r="I10" t="s">
        <v>19</v>
      </c>
      <c r="J10">
        <v>41</v>
      </c>
      <c r="K10">
        <v>0</v>
      </c>
      <c r="L10">
        <v>6</v>
      </c>
      <c r="M10" s="5">
        <v>2</v>
      </c>
      <c r="N10" s="4">
        <f t="shared" si="0"/>
        <v>8.370000000000001</v>
      </c>
      <c r="O10">
        <f>HOUR(TIMEVALUE(RetailTransactions[[#This Row],[Time]]))</f>
        <v>11</v>
      </c>
    </row>
    <row r="11" spans="1:15">
      <c r="A11" t="s">
        <v>53</v>
      </c>
      <c r="B11" s="3">
        <v>46253</v>
      </c>
      <c r="C11" t="s">
        <v>54</v>
      </c>
      <c r="D11" t="s">
        <v>16</v>
      </c>
      <c r="E11" t="s">
        <v>38</v>
      </c>
      <c r="F11" t="s">
        <v>39</v>
      </c>
      <c r="G11">
        <v>1</v>
      </c>
      <c r="H11" s="4">
        <v>2.37</v>
      </c>
      <c r="I11" t="s">
        <v>30</v>
      </c>
      <c r="J11">
        <v>3</v>
      </c>
      <c r="K11">
        <v>0</v>
      </c>
      <c r="L11">
        <v>6</v>
      </c>
      <c r="M11" s="5">
        <v>1.3</v>
      </c>
      <c r="N11" s="4">
        <f t="shared" si="0"/>
        <v>2.37</v>
      </c>
      <c r="O11">
        <f>HOUR(TIMEVALUE(RetailTransactions[[#This Row],[Time]]))</f>
        <v>11</v>
      </c>
    </row>
    <row r="12" spans="1:15">
      <c r="A12" t="s">
        <v>55</v>
      </c>
      <c r="B12" s="3">
        <v>46188</v>
      </c>
      <c r="C12" t="s">
        <v>56</v>
      </c>
      <c r="D12" t="s">
        <v>33</v>
      </c>
      <c r="E12" t="s">
        <v>57</v>
      </c>
      <c r="F12" t="s">
        <v>43</v>
      </c>
      <c r="G12">
        <v>1</v>
      </c>
      <c r="H12" s="4">
        <v>1.69</v>
      </c>
      <c r="I12" t="s">
        <v>19</v>
      </c>
      <c r="J12">
        <v>46</v>
      </c>
      <c r="K12">
        <v>0</v>
      </c>
      <c r="L12">
        <v>8</v>
      </c>
      <c r="M12" s="5">
        <v>6</v>
      </c>
      <c r="N12" s="4">
        <f t="shared" si="0"/>
        <v>1.69</v>
      </c>
      <c r="O12">
        <f>HOUR(TIMEVALUE(RetailTransactions[[#This Row],[Time]]))</f>
        <v>17</v>
      </c>
    </row>
    <row r="13" spans="1:15">
      <c r="A13" t="s">
        <v>58</v>
      </c>
      <c r="B13" s="3">
        <v>46188</v>
      </c>
      <c r="C13" t="s">
        <v>59</v>
      </c>
      <c r="D13" t="s">
        <v>33</v>
      </c>
      <c r="E13" t="s">
        <v>60</v>
      </c>
      <c r="F13" t="s">
        <v>29</v>
      </c>
      <c r="G13">
        <v>1</v>
      </c>
      <c r="H13" s="4">
        <v>2.29</v>
      </c>
      <c r="I13" t="s">
        <v>30</v>
      </c>
      <c r="J13">
        <v>50</v>
      </c>
      <c r="K13">
        <v>0</v>
      </c>
      <c r="L13">
        <v>6</v>
      </c>
      <c r="M13" s="5">
        <v>6.5</v>
      </c>
      <c r="N13" s="4">
        <f t="shared" si="0"/>
        <v>2.29</v>
      </c>
      <c r="O13">
        <f>HOUR(TIMEVALUE(RetailTransactions[[#This Row],[Time]]))</f>
        <v>12</v>
      </c>
    </row>
    <row r="14" spans="1:15">
      <c r="A14" t="s">
        <v>61</v>
      </c>
      <c r="B14" s="3">
        <v>46231</v>
      </c>
      <c r="C14" t="s">
        <v>62</v>
      </c>
      <c r="D14" t="s">
        <v>22</v>
      </c>
      <c r="E14" t="s">
        <v>63</v>
      </c>
      <c r="F14" t="s">
        <v>50</v>
      </c>
      <c r="G14">
        <v>1</v>
      </c>
      <c r="H14" s="4">
        <v>3.49</v>
      </c>
      <c r="I14" t="s">
        <v>19</v>
      </c>
      <c r="J14">
        <v>39</v>
      </c>
      <c r="K14">
        <v>0</v>
      </c>
      <c r="L14">
        <v>9</v>
      </c>
      <c r="M14" s="5">
        <v>4.4000000000000004</v>
      </c>
      <c r="N14" s="4">
        <f t="shared" si="0"/>
        <v>3.49</v>
      </c>
      <c r="O14">
        <f>HOUR(TIMEVALUE(RetailTransactions[[#This Row],[Time]]))</f>
        <v>18</v>
      </c>
    </row>
    <row r="15" spans="1:15">
      <c r="A15" t="s">
        <v>64</v>
      </c>
      <c r="B15" s="3">
        <v>46214</v>
      </c>
      <c r="C15" t="s">
        <v>65</v>
      </c>
      <c r="D15" t="s">
        <v>66</v>
      </c>
      <c r="E15" t="s">
        <v>34</v>
      </c>
      <c r="F15" t="s">
        <v>24</v>
      </c>
      <c r="G15">
        <v>1</v>
      </c>
      <c r="H15" s="4">
        <v>1.49</v>
      </c>
      <c r="I15" t="s">
        <v>19</v>
      </c>
      <c r="J15">
        <v>23</v>
      </c>
      <c r="K15">
        <v>0</v>
      </c>
      <c r="L15">
        <v>4</v>
      </c>
      <c r="M15" s="5">
        <v>3.3</v>
      </c>
      <c r="N15" s="4">
        <f t="shared" si="0"/>
        <v>1.49</v>
      </c>
      <c r="O15">
        <f>HOUR(TIMEVALUE(RetailTransactions[[#This Row],[Time]]))</f>
        <v>7</v>
      </c>
    </row>
    <row r="16" spans="1:15">
      <c r="A16" t="s">
        <v>67</v>
      </c>
      <c r="B16" s="3">
        <v>46238</v>
      </c>
      <c r="C16" t="s">
        <v>68</v>
      </c>
      <c r="D16" t="s">
        <v>22</v>
      </c>
      <c r="E16" t="s">
        <v>69</v>
      </c>
      <c r="F16" t="s">
        <v>43</v>
      </c>
      <c r="G16">
        <v>1</v>
      </c>
      <c r="H16" s="4">
        <v>1.99</v>
      </c>
      <c r="I16" t="s">
        <v>19</v>
      </c>
      <c r="J16">
        <v>24</v>
      </c>
      <c r="K16">
        <v>0</v>
      </c>
      <c r="L16">
        <v>5</v>
      </c>
      <c r="M16" s="5">
        <v>3.6</v>
      </c>
      <c r="N16" s="4">
        <f t="shared" si="0"/>
        <v>1.99</v>
      </c>
      <c r="O16">
        <f>HOUR(TIMEVALUE(RetailTransactions[[#This Row],[Time]]))</f>
        <v>16</v>
      </c>
    </row>
    <row r="17" spans="1:15">
      <c r="A17" t="s">
        <v>70</v>
      </c>
      <c r="B17" s="3">
        <v>46220</v>
      </c>
      <c r="C17" t="s">
        <v>71</v>
      </c>
      <c r="D17" t="s">
        <v>72</v>
      </c>
      <c r="E17" t="s">
        <v>28</v>
      </c>
      <c r="F17" t="s">
        <v>29</v>
      </c>
      <c r="G17">
        <v>1</v>
      </c>
      <c r="H17" s="4">
        <v>3.29</v>
      </c>
      <c r="I17" t="s">
        <v>19</v>
      </c>
      <c r="J17">
        <v>24</v>
      </c>
      <c r="K17">
        <v>0</v>
      </c>
      <c r="L17">
        <v>6</v>
      </c>
      <c r="M17" s="5">
        <v>5.2</v>
      </c>
      <c r="N17" s="4">
        <f t="shared" si="0"/>
        <v>3.29</v>
      </c>
      <c r="O17">
        <f>HOUR(TIMEVALUE(RetailTransactions[[#This Row],[Time]]))</f>
        <v>17</v>
      </c>
    </row>
    <row r="18" spans="1:15">
      <c r="A18" t="s">
        <v>73</v>
      </c>
      <c r="B18" s="3">
        <v>46174</v>
      </c>
      <c r="C18" t="s">
        <v>74</v>
      </c>
      <c r="D18" t="s">
        <v>33</v>
      </c>
      <c r="E18" t="s">
        <v>17</v>
      </c>
      <c r="F18" t="s">
        <v>18</v>
      </c>
      <c r="G18">
        <v>1</v>
      </c>
      <c r="H18" s="4">
        <v>1.49</v>
      </c>
      <c r="I18" t="s">
        <v>30</v>
      </c>
      <c r="J18">
        <v>36</v>
      </c>
      <c r="K18">
        <v>0</v>
      </c>
      <c r="L18">
        <v>7</v>
      </c>
      <c r="M18" s="5">
        <v>2.8</v>
      </c>
      <c r="N18" s="4">
        <f t="shared" si="0"/>
        <v>1.49</v>
      </c>
      <c r="O18">
        <f>HOUR(TIMEVALUE(RetailTransactions[[#This Row],[Time]]))</f>
        <v>10</v>
      </c>
    </row>
    <row r="19" spans="1:15">
      <c r="A19" t="s">
        <v>75</v>
      </c>
      <c r="B19" s="3">
        <v>46243</v>
      </c>
      <c r="C19" t="s">
        <v>32</v>
      </c>
      <c r="D19" t="s">
        <v>27</v>
      </c>
      <c r="E19" t="s">
        <v>49</v>
      </c>
      <c r="F19" t="s">
        <v>50</v>
      </c>
      <c r="G19">
        <v>3</v>
      </c>
      <c r="H19" s="4">
        <v>3.95</v>
      </c>
      <c r="I19" t="s">
        <v>19</v>
      </c>
      <c r="J19">
        <v>19</v>
      </c>
      <c r="K19">
        <v>0</v>
      </c>
      <c r="L19">
        <v>5</v>
      </c>
      <c r="M19" s="5">
        <v>3.1</v>
      </c>
      <c r="N19" s="4">
        <f t="shared" si="0"/>
        <v>11.850000000000001</v>
      </c>
      <c r="O19">
        <f>HOUR(TIMEVALUE(RetailTransactions[[#This Row],[Time]]))</f>
        <v>21</v>
      </c>
    </row>
    <row r="20" spans="1:15">
      <c r="A20" t="s">
        <v>76</v>
      </c>
      <c r="B20" s="3">
        <v>46220</v>
      </c>
      <c r="C20" t="s">
        <v>77</v>
      </c>
      <c r="D20" t="s">
        <v>72</v>
      </c>
      <c r="E20" t="s">
        <v>78</v>
      </c>
      <c r="F20" t="s">
        <v>39</v>
      </c>
      <c r="G20">
        <v>1</v>
      </c>
      <c r="H20" s="4">
        <v>1.55</v>
      </c>
      <c r="I20" t="s">
        <v>19</v>
      </c>
      <c r="J20">
        <v>42</v>
      </c>
      <c r="K20">
        <v>0</v>
      </c>
      <c r="L20">
        <v>8</v>
      </c>
      <c r="M20" s="5">
        <v>3.3</v>
      </c>
      <c r="N20" s="4">
        <f t="shared" si="0"/>
        <v>1.55</v>
      </c>
      <c r="O20">
        <f>HOUR(TIMEVALUE(RetailTransactions[[#This Row],[Time]]))</f>
        <v>12</v>
      </c>
    </row>
    <row r="21" spans="1:15">
      <c r="A21" t="s">
        <v>79</v>
      </c>
      <c r="B21" s="3">
        <v>46175</v>
      </c>
      <c r="C21" t="s">
        <v>80</v>
      </c>
      <c r="D21" t="s">
        <v>22</v>
      </c>
      <c r="E21" t="s">
        <v>49</v>
      </c>
      <c r="F21" t="s">
        <v>50</v>
      </c>
      <c r="G21">
        <v>2</v>
      </c>
      <c r="H21" s="4">
        <v>3.95</v>
      </c>
      <c r="I21" t="s">
        <v>19</v>
      </c>
      <c r="J21">
        <v>44</v>
      </c>
      <c r="K21">
        <v>0</v>
      </c>
      <c r="L21">
        <v>6</v>
      </c>
      <c r="M21" s="5">
        <v>2.4</v>
      </c>
      <c r="N21" s="4">
        <f t="shared" si="0"/>
        <v>7.9</v>
      </c>
      <c r="O21">
        <f>HOUR(TIMEVALUE(RetailTransactions[[#This Row],[Time]]))</f>
        <v>16</v>
      </c>
    </row>
    <row r="22" spans="1:15">
      <c r="A22" t="s">
        <v>81</v>
      </c>
      <c r="B22" s="3">
        <v>46242</v>
      </c>
      <c r="C22" t="s">
        <v>82</v>
      </c>
      <c r="D22" t="s">
        <v>66</v>
      </c>
      <c r="E22" t="s">
        <v>60</v>
      </c>
      <c r="F22" t="s">
        <v>29</v>
      </c>
      <c r="G22">
        <v>3</v>
      </c>
      <c r="H22" s="4">
        <v>2.69</v>
      </c>
      <c r="I22" t="s">
        <v>19</v>
      </c>
      <c r="J22">
        <v>7</v>
      </c>
      <c r="K22">
        <v>0</v>
      </c>
      <c r="L22">
        <v>5</v>
      </c>
      <c r="M22" s="5">
        <v>3.1</v>
      </c>
      <c r="N22" s="4">
        <f t="shared" si="0"/>
        <v>8.07</v>
      </c>
      <c r="O22">
        <f>HOUR(TIMEVALUE(RetailTransactions[[#This Row],[Time]]))</f>
        <v>11</v>
      </c>
    </row>
    <row r="23" spans="1:15">
      <c r="A23" t="s">
        <v>83</v>
      </c>
      <c r="B23" s="3">
        <v>46245</v>
      </c>
      <c r="C23" t="s">
        <v>84</v>
      </c>
      <c r="D23" t="s">
        <v>22</v>
      </c>
      <c r="E23" t="s">
        <v>85</v>
      </c>
      <c r="F23" t="s">
        <v>18</v>
      </c>
      <c r="G23">
        <v>2</v>
      </c>
      <c r="H23" s="4">
        <v>2.4900000000000002</v>
      </c>
      <c r="I23" t="s">
        <v>19</v>
      </c>
      <c r="J23">
        <v>39</v>
      </c>
      <c r="K23">
        <v>0</v>
      </c>
      <c r="L23">
        <v>5</v>
      </c>
      <c r="M23" s="5">
        <v>3.3</v>
      </c>
      <c r="N23" s="4">
        <f t="shared" si="0"/>
        <v>4.9800000000000004</v>
      </c>
      <c r="O23">
        <f>HOUR(TIMEVALUE(RetailTransactions[[#This Row],[Time]]))</f>
        <v>14</v>
      </c>
    </row>
    <row r="24" spans="1:15">
      <c r="A24" t="s">
        <v>86</v>
      </c>
      <c r="B24" s="3">
        <v>46211</v>
      </c>
      <c r="C24" t="s">
        <v>87</v>
      </c>
      <c r="D24" t="s">
        <v>16</v>
      </c>
      <c r="E24" t="s">
        <v>28</v>
      </c>
      <c r="F24" t="s">
        <v>29</v>
      </c>
      <c r="G24">
        <v>1</v>
      </c>
      <c r="H24" s="4">
        <v>3.29</v>
      </c>
      <c r="I24" t="s">
        <v>19</v>
      </c>
      <c r="J24">
        <v>6</v>
      </c>
      <c r="K24">
        <v>0</v>
      </c>
      <c r="L24">
        <v>9</v>
      </c>
      <c r="M24" s="5">
        <v>3.6</v>
      </c>
      <c r="N24" s="4">
        <f t="shared" si="0"/>
        <v>3.29</v>
      </c>
      <c r="O24">
        <f>HOUR(TIMEVALUE(RetailTransactions[[#This Row],[Time]]))</f>
        <v>19</v>
      </c>
    </row>
    <row r="25" spans="1:15">
      <c r="A25" t="s">
        <v>88</v>
      </c>
      <c r="B25" s="3">
        <v>46264</v>
      </c>
      <c r="C25" t="s">
        <v>89</v>
      </c>
      <c r="D25" t="s">
        <v>27</v>
      </c>
      <c r="E25" t="s">
        <v>46</v>
      </c>
      <c r="F25" t="s">
        <v>24</v>
      </c>
      <c r="G25">
        <v>1</v>
      </c>
      <c r="H25" s="4">
        <v>1.79</v>
      </c>
      <c r="I25" t="s">
        <v>19</v>
      </c>
      <c r="J25">
        <v>34</v>
      </c>
      <c r="K25">
        <v>3</v>
      </c>
      <c r="L25">
        <v>4</v>
      </c>
      <c r="M25" s="5">
        <v>4.5</v>
      </c>
      <c r="N25" s="4">
        <f t="shared" si="0"/>
        <v>1.79</v>
      </c>
      <c r="O25">
        <f>HOUR(TIMEVALUE(RetailTransactions[[#This Row],[Time]]))</f>
        <v>14</v>
      </c>
    </row>
    <row r="26" spans="1:15">
      <c r="A26" t="s">
        <v>90</v>
      </c>
      <c r="B26" s="3">
        <v>46192</v>
      </c>
      <c r="C26" t="s">
        <v>91</v>
      </c>
      <c r="D26" t="s">
        <v>72</v>
      </c>
      <c r="E26" t="s">
        <v>34</v>
      </c>
      <c r="F26" t="s">
        <v>24</v>
      </c>
      <c r="G26">
        <v>2</v>
      </c>
      <c r="H26" s="4">
        <v>1.27</v>
      </c>
      <c r="I26" t="s">
        <v>30</v>
      </c>
      <c r="J26">
        <v>9</v>
      </c>
      <c r="K26">
        <v>0</v>
      </c>
      <c r="L26">
        <v>7</v>
      </c>
      <c r="M26" s="5">
        <v>5.5</v>
      </c>
      <c r="N26" s="4">
        <f t="shared" si="0"/>
        <v>2.54</v>
      </c>
      <c r="O26">
        <f>HOUR(TIMEVALUE(RetailTransactions[[#This Row],[Time]]))</f>
        <v>12</v>
      </c>
    </row>
    <row r="27" spans="1:15">
      <c r="A27" t="s">
        <v>92</v>
      </c>
      <c r="B27" s="3">
        <v>46263</v>
      </c>
      <c r="C27" t="s">
        <v>93</v>
      </c>
      <c r="D27" t="s">
        <v>66</v>
      </c>
      <c r="E27" t="s">
        <v>85</v>
      </c>
      <c r="F27" t="s">
        <v>18</v>
      </c>
      <c r="G27">
        <v>1</v>
      </c>
      <c r="H27" s="4">
        <v>2.4900000000000002</v>
      </c>
      <c r="I27" t="s">
        <v>19</v>
      </c>
      <c r="J27">
        <v>15</v>
      </c>
      <c r="K27">
        <v>0</v>
      </c>
      <c r="L27">
        <v>6</v>
      </c>
      <c r="M27" s="5">
        <v>3.8</v>
      </c>
      <c r="N27" s="4">
        <f t="shared" si="0"/>
        <v>2.4900000000000002</v>
      </c>
      <c r="O27">
        <f>HOUR(TIMEVALUE(RetailTransactions[[#This Row],[Time]]))</f>
        <v>12</v>
      </c>
    </row>
    <row r="28" spans="1:15">
      <c r="A28" t="s">
        <v>94</v>
      </c>
      <c r="B28" s="3">
        <v>46188</v>
      </c>
      <c r="C28" t="s">
        <v>95</v>
      </c>
      <c r="D28" t="s">
        <v>33</v>
      </c>
      <c r="E28" t="s">
        <v>23</v>
      </c>
      <c r="F28" t="s">
        <v>24</v>
      </c>
      <c r="G28">
        <v>1</v>
      </c>
      <c r="H28" s="4">
        <v>0.95</v>
      </c>
      <c r="I28" t="s">
        <v>19</v>
      </c>
      <c r="J28">
        <v>28</v>
      </c>
      <c r="K28">
        <v>1</v>
      </c>
      <c r="L28">
        <v>6</v>
      </c>
      <c r="M28" s="5">
        <v>1.8</v>
      </c>
      <c r="N28" s="4">
        <f t="shared" si="0"/>
        <v>0.95</v>
      </c>
      <c r="O28">
        <f>HOUR(TIMEVALUE(RetailTransactions[[#This Row],[Time]]))</f>
        <v>16</v>
      </c>
    </row>
    <row r="29" spans="1:15">
      <c r="A29" t="s">
        <v>96</v>
      </c>
      <c r="B29" s="3">
        <v>46179</v>
      </c>
      <c r="C29" t="s">
        <v>97</v>
      </c>
      <c r="D29" t="s">
        <v>66</v>
      </c>
      <c r="E29" t="s">
        <v>85</v>
      </c>
      <c r="F29" t="s">
        <v>18</v>
      </c>
      <c r="G29">
        <v>1</v>
      </c>
      <c r="H29" s="4">
        <v>2.4900000000000002</v>
      </c>
      <c r="I29" t="s">
        <v>19</v>
      </c>
      <c r="J29">
        <v>15</v>
      </c>
      <c r="K29">
        <v>0</v>
      </c>
      <c r="L29">
        <v>4</v>
      </c>
      <c r="M29" s="5">
        <v>3.4</v>
      </c>
      <c r="N29" s="4">
        <f t="shared" si="0"/>
        <v>2.4900000000000002</v>
      </c>
      <c r="O29">
        <f>HOUR(TIMEVALUE(RetailTransactions[[#This Row],[Time]]))</f>
        <v>21</v>
      </c>
    </row>
    <row r="30" spans="1:15">
      <c r="A30" t="s">
        <v>98</v>
      </c>
      <c r="B30" s="3">
        <v>46192</v>
      </c>
      <c r="C30" t="s">
        <v>99</v>
      </c>
      <c r="D30" t="s">
        <v>72</v>
      </c>
      <c r="E30" t="s">
        <v>57</v>
      </c>
      <c r="F30" t="s">
        <v>43</v>
      </c>
      <c r="G30">
        <v>1</v>
      </c>
      <c r="H30" s="4">
        <v>1.69</v>
      </c>
      <c r="I30" t="s">
        <v>19</v>
      </c>
      <c r="J30">
        <v>34</v>
      </c>
      <c r="K30">
        <v>0</v>
      </c>
      <c r="L30">
        <v>7</v>
      </c>
      <c r="M30" s="5">
        <v>2.4</v>
      </c>
      <c r="N30" s="4">
        <f t="shared" si="0"/>
        <v>1.69</v>
      </c>
      <c r="O30">
        <f>HOUR(TIMEVALUE(RetailTransactions[[#This Row],[Time]]))</f>
        <v>16</v>
      </c>
    </row>
    <row r="31" spans="1:15">
      <c r="A31" t="s">
        <v>100</v>
      </c>
      <c r="B31" s="3">
        <v>46201</v>
      </c>
      <c r="C31" t="s">
        <v>101</v>
      </c>
      <c r="D31" t="s">
        <v>27</v>
      </c>
      <c r="E31" t="s">
        <v>60</v>
      </c>
      <c r="F31" t="s">
        <v>29</v>
      </c>
      <c r="G31">
        <v>1</v>
      </c>
      <c r="H31" s="4">
        <v>2.69</v>
      </c>
      <c r="I31" t="s">
        <v>19</v>
      </c>
      <c r="J31">
        <v>52</v>
      </c>
      <c r="K31">
        <v>0</v>
      </c>
      <c r="L31">
        <v>7</v>
      </c>
      <c r="M31" s="5">
        <v>2.2999999999999998</v>
      </c>
      <c r="N31" s="4">
        <f t="shared" si="0"/>
        <v>2.69</v>
      </c>
      <c r="O31">
        <f>HOUR(TIMEVALUE(RetailTransactions[[#This Row],[Time]]))</f>
        <v>14</v>
      </c>
    </row>
    <row r="32" spans="1:15">
      <c r="A32" t="s">
        <v>102</v>
      </c>
      <c r="B32" s="3">
        <v>46257</v>
      </c>
      <c r="C32" t="s">
        <v>103</v>
      </c>
      <c r="D32" t="s">
        <v>27</v>
      </c>
      <c r="E32" t="s">
        <v>69</v>
      </c>
      <c r="F32" t="s">
        <v>43</v>
      </c>
      <c r="G32">
        <v>2</v>
      </c>
      <c r="H32" s="4">
        <v>1.99</v>
      </c>
      <c r="I32" t="s">
        <v>19</v>
      </c>
      <c r="J32">
        <v>44</v>
      </c>
      <c r="K32">
        <v>0</v>
      </c>
      <c r="L32">
        <v>7</v>
      </c>
      <c r="M32" s="5">
        <v>2.2999999999999998</v>
      </c>
      <c r="N32" s="4">
        <f t="shared" si="0"/>
        <v>3.98</v>
      </c>
      <c r="O32">
        <f>HOUR(TIMEVALUE(RetailTransactions[[#This Row],[Time]]))</f>
        <v>8</v>
      </c>
    </row>
    <row r="33" spans="1:15">
      <c r="A33" t="s">
        <v>104</v>
      </c>
      <c r="B33" s="3">
        <v>46185</v>
      </c>
      <c r="C33" t="s">
        <v>105</v>
      </c>
      <c r="D33" t="s">
        <v>72</v>
      </c>
      <c r="E33" t="s">
        <v>106</v>
      </c>
      <c r="F33" t="s">
        <v>18</v>
      </c>
      <c r="G33">
        <v>3</v>
      </c>
      <c r="H33" s="4">
        <v>1.89</v>
      </c>
      <c r="I33" t="s">
        <v>19</v>
      </c>
      <c r="J33">
        <v>47</v>
      </c>
      <c r="K33">
        <v>0</v>
      </c>
      <c r="L33">
        <v>9</v>
      </c>
      <c r="M33" s="5">
        <v>4</v>
      </c>
      <c r="N33" s="4">
        <f t="shared" si="0"/>
        <v>5.67</v>
      </c>
      <c r="O33">
        <f>HOUR(TIMEVALUE(RetailTransactions[[#This Row],[Time]]))</f>
        <v>12</v>
      </c>
    </row>
    <row r="34" spans="1:15">
      <c r="A34" t="s">
        <v>107</v>
      </c>
      <c r="B34" s="3">
        <v>46200</v>
      </c>
      <c r="C34" t="s">
        <v>108</v>
      </c>
      <c r="D34" t="s">
        <v>66</v>
      </c>
      <c r="E34" t="s">
        <v>78</v>
      </c>
      <c r="F34" t="s">
        <v>39</v>
      </c>
      <c r="G34">
        <v>2</v>
      </c>
      <c r="H34" s="4">
        <v>1.55</v>
      </c>
      <c r="I34" t="s">
        <v>19</v>
      </c>
      <c r="J34">
        <v>11</v>
      </c>
      <c r="K34">
        <v>0</v>
      </c>
      <c r="L34">
        <v>5</v>
      </c>
      <c r="M34" s="5">
        <v>3.9</v>
      </c>
      <c r="N34" s="4">
        <f t="shared" si="0"/>
        <v>3.1</v>
      </c>
      <c r="O34">
        <f>HOUR(TIMEVALUE(RetailTransactions[[#This Row],[Time]]))</f>
        <v>14</v>
      </c>
    </row>
    <row r="35" spans="1:15">
      <c r="A35" t="s">
        <v>109</v>
      </c>
      <c r="B35" s="3">
        <v>46252</v>
      </c>
      <c r="C35" t="s">
        <v>110</v>
      </c>
      <c r="D35" t="s">
        <v>22</v>
      </c>
      <c r="E35" t="s">
        <v>34</v>
      </c>
      <c r="F35" t="s">
        <v>24</v>
      </c>
      <c r="G35">
        <v>3</v>
      </c>
      <c r="H35" s="4">
        <v>1.27</v>
      </c>
      <c r="I35" t="s">
        <v>30</v>
      </c>
      <c r="J35">
        <v>18</v>
      </c>
      <c r="K35">
        <v>1</v>
      </c>
      <c r="L35">
        <v>8</v>
      </c>
      <c r="M35" s="5">
        <v>5.6</v>
      </c>
      <c r="N35" s="4">
        <f t="shared" si="0"/>
        <v>3.81</v>
      </c>
      <c r="O35">
        <f>HOUR(TIMEVALUE(RetailTransactions[[#This Row],[Time]]))</f>
        <v>17</v>
      </c>
    </row>
    <row r="36" spans="1:15">
      <c r="A36" t="s">
        <v>111</v>
      </c>
      <c r="B36" s="3">
        <v>46202</v>
      </c>
      <c r="C36" t="s">
        <v>112</v>
      </c>
      <c r="D36" t="s">
        <v>33</v>
      </c>
      <c r="E36" t="s">
        <v>63</v>
      </c>
      <c r="F36" t="s">
        <v>50</v>
      </c>
      <c r="G36">
        <v>3</v>
      </c>
      <c r="H36" s="4">
        <v>2.97</v>
      </c>
      <c r="I36" t="s">
        <v>30</v>
      </c>
      <c r="J36">
        <v>4</v>
      </c>
      <c r="K36">
        <v>1</v>
      </c>
      <c r="L36">
        <v>6</v>
      </c>
      <c r="M36" s="5">
        <v>1.3</v>
      </c>
      <c r="N36" s="4">
        <f t="shared" si="0"/>
        <v>8.91</v>
      </c>
      <c r="O36">
        <f>HOUR(TIMEVALUE(RetailTransactions[[#This Row],[Time]]))</f>
        <v>20</v>
      </c>
    </row>
    <row r="37" spans="1:15">
      <c r="A37" t="s">
        <v>113</v>
      </c>
      <c r="B37" s="3">
        <v>46218</v>
      </c>
      <c r="C37" t="s">
        <v>114</v>
      </c>
      <c r="D37" t="s">
        <v>16</v>
      </c>
      <c r="E37" t="s">
        <v>115</v>
      </c>
      <c r="F37" t="s">
        <v>29</v>
      </c>
      <c r="G37">
        <v>1</v>
      </c>
      <c r="H37" s="4">
        <v>3.99</v>
      </c>
      <c r="I37" t="s">
        <v>19</v>
      </c>
      <c r="J37">
        <v>55</v>
      </c>
      <c r="K37">
        <v>0</v>
      </c>
      <c r="L37">
        <v>9</v>
      </c>
      <c r="M37" s="5">
        <v>5.3</v>
      </c>
      <c r="N37" s="4">
        <f t="shared" si="0"/>
        <v>3.99</v>
      </c>
      <c r="O37">
        <f>HOUR(TIMEVALUE(RetailTransactions[[#This Row],[Time]]))</f>
        <v>17</v>
      </c>
    </row>
    <row r="38" spans="1:15">
      <c r="A38" t="s">
        <v>116</v>
      </c>
      <c r="B38" s="3">
        <v>46231</v>
      </c>
      <c r="C38" t="s">
        <v>117</v>
      </c>
      <c r="D38" t="s">
        <v>22</v>
      </c>
      <c r="E38" t="s">
        <v>34</v>
      </c>
      <c r="F38" t="s">
        <v>24</v>
      </c>
      <c r="G38">
        <v>1</v>
      </c>
      <c r="H38" s="4">
        <v>1.49</v>
      </c>
      <c r="I38" t="s">
        <v>19</v>
      </c>
      <c r="J38">
        <v>43</v>
      </c>
      <c r="K38">
        <v>0</v>
      </c>
      <c r="L38">
        <v>7</v>
      </c>
      <c r="M38" s="5">
        <v>5.5</v>
      </c>
      <c r="N38" s="4">
        <f t="shared" si="0"/>
        <v>1.49</v>
      </c>
      <c r="O38">
        <f>HOUR(TIMEVALUE(RetailTransactions[[#This Row],[Time]]))</f>
        <v>18</v>
      </c>
    </row>
    <row r="39" spans="1:15">
      <c r="A39" t="s">
        <v>118</v>
      </c>
      <c r="B39" s="3">
        <v>46183</v>
      </c>
      <c r="C39" t="s">
        <v>119</v>
      </c>
      <c r="D39" t="s">
        <v>16</v>
      </c>
      <c r="E39" t="s">
        <v>120</v>
      </c>
      <c r="F39" t="s">
        <v>50</v>
      </c>
      <c r="G39">
        <v>1</v>
      </c>
      <c r="H39" s="4">
        <v>2.25</v>
      </c>
      <c r="I39" t="s">
        <v>19</v>
      </c>
      <c r="J39">
        <v>16</v>
      </c>
      <c r="K39">
        <v>0</v>
      </c>
      <c r="L39">
        <v>6</v>
      </c>
      <c r="M39" s="5">
        <v>2.8</v>
      </c>
      <c r="N39" s="4">
        <f t="shared" si="0"/>
        <v>2.25</v>
      </c>
      <c r="O39">
        <f>HOUR(TIMEVALUE(RetailTransactions[[#This Row],[Time]]))</f>
        <v>10</v>
      </c>
    </row>
    <row r="40" spans="1:15">
      <c r="A40" t="s">
        <v>121</v>
      </c>
      <c r="B40" s="3">
        <v>46214</v>
      </c>
      <c r="C40" t="s">
        <v>122</v>
      </c>
      <c r="D40" t="s">
        <v>66</v>
      </c>
      <c r="E40" t="s">
        <v>34</v>
      </c>
      <c r="F40" t="s">
        <v>24</v>
      </c>
      <c r="G40">
        <v>1</v>
      </c>
      <c r="H40" s="4">
        <v>1.49</v>
      </c>
      <c r="I40" t="s">
        <v>19</v>
      </c>
      <c r="J40">
        <v>59</v>
      </c>
      <c r="K40">
        <v>1</v>
      </c>
      <c r="L40">
        <v>8</v>
      </c>
      <c r="M40" s="5">
        <v>3.3</v>
      </c>
      <c r="N40" s="4">
        <f t="shared" si="0"/>
        <v>1.49</v>
      </c>
      <c r="O40">
        <f>HOUR(TIMEVALUE(RetailTransactions[[#This Row],[Time]]))</f>
        <v>12</v>
      </c>
    </row>
    <row r="41" spans="1:15">
      <c r="A41" t="s">
        <v>123</v>
      </c>
      <c r="B41" s="3">
        <v>46221</v>
      </c>
      <c r="C41" t="s">
        <v>124</v>
      </c>
      <c r="D41" t="s">
        <v>66</v>
      </c>
      <c r="E41" t="s">
        <v>125</v>
      </c>
      <c r="F41" t="s">
        <v>39</v>
      </c>
      <c r="G41">
        <v>1</v>
      </c>
      <c r="H41" s="4">
        <v>1.85</v>
      </c>
      <c r="I41" t="s">
        <v>19</v>
      </c>
      <c r="J41">
        <v>9</v>
      </c>
      <c r="K41">
        <v>0</v>
      </c>
      <c r="L41">
        <v>9</v>
      </c>
      <c r="M41" s="5">
        <v>2.8</v>
      </c>
      <c r="N41" s="4">
        <f t="shared" si="0"/>
        <v>1.85</v>
      </c>
      <c r="O41">
        <f>HOUR(TIMEVALUE(RetailTransactions[[#This Row],[Time]]))</f>
        <v>18</v>
      </c>
    </row>
    <row r="42" spans="1:15">
      <c r="A42" t="s">
        <v>126</v>
      </c>
      <c r="B42" s="3">
        <v>46179</v>
      </c>
      <c r="C42" t="s">
        <v>95</v>
      </c>
      <c r="D42" t="s">
        <v>66</v>
      </c>
      <c r="E42" t="s">
        <v>38</v>
      </c>
      <c r="F42" t="s">
        <v>39</v>
      </c>
      <c r="G42">
        <v>1</v>
      </c>
      <c r="H42" s="4">
        <v>2.37</v>
      </c>
      <c r="I42" t="s">
        <v>30</v>
      </c>
      <c r="J42">
        <v>47</v>
      </c>
      <c r="K42">
        <v>0</v>
      </c>
      <c r="L42">
        <v>6</v>
      </c>
      <c r="M42" s="5">
        <v>2.5</v>
      </c>
      <c r="N42" s="4">
        <f t="shared" si="0"/>
        <v>2.37</v>
      </c>
      <c r="O42">
        <f>HOUR(TIMEVALUE(RetailTransactions[[#This Row],[Time]]))</f>
        <v>16</v>
      </c>
    </row>
    <row r="43" spans="1:15">
      <c r="A43" t="s">
        <v>127</v>
      </c>
      <c r="B43" s="3">
        <v>46190</v>
      </c>
      <c r="C43" t="s">
        <v>128</v>
      </c>
      <c r="D43" t="s">
        <v>16</v>
      </c>
      <c r="E43" t="s">
        <v>49</v>
      </c>
      <c r="F43" t="s">
        <v>50</v>
      </c>
      <c r="G43">
        <v>1</v>
      </c>
      <c r="H43" s="4">
        <v>3.36</v>
      </c>
      <c r="I43" t="s">
        <v>30</v>
      </c>
      <c r="J43">
        <v>35</v>
      </c>
      <c r="K43">
        <v>0</v>
      </c>
      <c r="L43">
        <v>6</v>
      </c>
      <c r="M43" s="5">
        <v>1.8</v>
      </c>
      <c r="N43" s="4">
        <f t="shared" si="0"/>
        <v>3.36</v>
      </c>
      <c r="O43">
        <f>HOUR(TIMEVALUE(RetailTransactions[[#This Row],[Time]]))</f>
        <v>11</v>
      </c>
    </row>
    <row r="44" spans="1:15">
      <c r="A44" t="s">
        <v>129</v>
      </c>
      <c r="B44" s="3">
        <v>46218</v>
      </c>
      <c r="C44" t="s">
        <v>130</v>
      </c>
      <c r="D44" t="s">
        <v>16</v>
      </c>
      <c r="E44" t="s">
        <v>120</v>
      </c>
      <c r="F44" t="s">
        <v>50</v>
      </c>
      <c r="G44">
        <v>1</v>
      </c>
      <c r="H44" s="4">
        <v>2.25</v>
      </c>
      <c r="I44" t="s">
        <v>19</v>
      </c>
      <c r="J44">
        <v>13</v>
      </c>
      <c r="K44">
        <v>0</v>
      </c>
      <c r="L44">
        <v>7</v>
      </c>
      <c r="M44" s="5">
        <v>3</v>
      </c>
      <c r="N44" s="4">
        <f t="shared" si="0"/>
        <v>2.25</v>
      </c>
      <c r="O44">
        <f>HOUR(TIMEVALUE(RetailTransactions[[#This Row],[Time]]))</f>
        <v>19</v>
      </c>
    </row>
    <row r="45" spans="1:15">
      <c r="A45" t="s">
        <v>131</v>
      </c>
      <c r="B45" s="3">
        <v>46198</v>
      </c>
      <c r="C45" t="s">
        <v>132</v>
      </c>
      <c r="D45" t="s">
        <v>37</v>
      </c>
      <c r="E45" t="s">
        <v>23</v>
      </c>
      <c r="F45" t="s">
        <v>24</v>
      </c>
      <c r="G45">
        <v>1</v>
      </c>
      <c r="H45" s="4">
        <v>0.95</v>
      </c>
      <c r="I45" t="s">
        <v>19</v>
      </c>
      <c r="J45">
        <v>43</v>
      </c>
      <c r="K45">
        <v>0</v>
      </c>
      <c r="L45">
        <v>6</v>
      </c>
      <c r="M45" s="5">
        <v>6.1</v>
      </c>
      <c r="N45" s="4">
        <f t="shared" si="0"/>
        <v>0.95</v>
      </c>
      <c r="O45">
        <f>HOUR(TIMEVALUE(RetailTransactions[[#This Row],[Time]]))</f>
        <v>19</v>
      </c>
    </row>
    <row r="46" spans="1:15">
      <c r="A46" t="s">
        <v>133</v>
      </c>
      <c r="B46" s="3">
        <v>46185</v>
      </c>
      <c r="C46" t="s">
        <v>134</v>
      </c>
      <c r="D46" t="s">
        <v>72</v>
      </c>
      <c r="E46" t="s">
        <v>120</v>
      </c>
      <c r="F46" t="s">
        <v>50</v>
      </c>
      <c r="G46">
        <v>1</v>
      </c>
      <c r="H46" s="4">
        <v>2.25</v>
      </c>
      <c r="I46" t="s">
        <v>19</v>
      </c>
      <c r="J46">
        <v>52</v>
      </c>
      <c r="K46">
        <v>0</v>
      </c>
      <c r="L46">
        <v>5</v>
      </c>
      <c r="M46" s="5">
        <v>3.7</v>
      </c>
      <c r="N46" s="4">
        <f t="shared" si="0"/>
        <v>2.25</v>
      </c>
      <c r="O46">
        <f>HOUR(TIMEVALUE(RetailTransactions[[#This Row],[Time]]))</f>
        <v>20</v>
      </c>
    </row>
    <row r="47" spans="1:15">
      <c r="A47" t="s">
        <v>135</v>
      </c>
      <c r="B47" s="3">
        <v>46221</v>
      </c>
      <c r="C47" t="s">
        <v>95</v>
      </c>
      <c r="D47" t="s">
        <v>66</v>
      </c>
      <c r="E47" t="s">
        <v>69</v>
      </c>
      <c r="F47" t="s">
        <v>43</v>
      </c>
      <c r="G47">
        <v>1</v>
      </c>
      <c r="H47" s="4">
        <v>1.99</v>
      </c>
      <c r="I47" t="s">
        <v>19</v>
      </c>
      <c r="J47">
        <v>15</v>
      </c>
      <c r="K47">
        <v>0</v>
      </c>
      <c r="L47">
        <v>6</v>
      </c>
      <c r="M47" s="5">
        <v>2.5</v>
      </c>
      <c r="N47" s="4">
        <f t="shared" si="0"/>
        <v>1.99</v>
      </c>
      <c r="O47">
        <f>HOUR(TIMEVALUE(RetailTransactions[[#This Row],[Time]]))</f>
        <v>16</v>
      </c>
    </row>
    <row r="48" spans="1:15">
      <c r="A48" t="s">
        <v>136</v>
      </c>
      <c r="B48" s="3">
        <v>46243</v>
      </c>
      <c r="C48" t="s">
        <v>137</v>
      </c>
      <c r="D48" t="s">
        <v>27</v>
      </c>
      <c r="E48" t="s">
        <v>49</v>
      </c>
      <c r="F48" t="s">
        <v>50</v>
      </c>
      <c r="G48">
        <v>1</v>
      </c>
      <c r="H48" s="4">
        <v>3.95</v>
      </c>
      <c r="I48" t="s">
        <v>19</v>
      </c>
      <c r="J48">
        <v>59</v>
      </c>
      <c r="K48">
        <v>0</v>
      </c>
      <c r="L48">
        <v>8</v>
      </c>
      <c r="M48" s="5">
        <v>6.2</v>
      </c>
      <c r="N48" s="4">
        <f t="shared" si="0"/>
        <v>3.95</v>
      </c>
      <c r="O48">
        <f>HOUR(TIMEVALUE(RetailTransactions[[#This Row],[Time]]))</f>
        <v>13</v>
      </c>
    </row>
    <row r="49" spans="1:15">
      <c r="A49" t="s">
        <v>138</v>
      </c>
      <c r="B49" s="3">
        <v>46203</v>
      </c>
      <c r="C49" t="s">
        <v>68</v>
      </c>
      <c r="D49" t="s">
        <v>22</v>
      </c>
      <c r="E49" t="s">
        <v>115</v>
      </c>
      <c r="F49" t="s">
        <v>29</v>
      </c>
      <c r="G49">
        <v>2</v>
      </c>
      <c r="H49" s="4">
        <v>3.99</v>
      </c>
      <c r="I49" t="s">
        <v>19</v>
      </c>
      <c r="J49">
        <v>42</v>
      </c>
      <c r="K49">
        <v>0</v>
      </c>
      <c r="L49">
        <v>4</v>
      </c>
      <c r="M49" s="5">
        <v>2.2999999999999998</v>
      </c>
      <c r="N49" s="4">
        <f t="shared" si="0"/>
        <v>7.98</v>
      </c>
      <c r="O49">
        <f>HOUR(TIMEVALUE(RetailTransactions[[#This Row],[Time]]))</f>
        <v>16</v>
      </c>
    </row>
    <row r="50" spans="1:15">
      <c r="A50" t="s">
        <v>139</v>
      </c>
      <c r="B50" s="3">
        <v>46202</v>
      </c>
      <c r="C50" t="s">
        <v>77</v>
      </c>
      <c r="D50" t="s">
        <v>33</v>
      </c>
      <c r="E50" t="s">
        <v>106</v>
      </c>
      <c r="F50" t="s">
        <v>18</v>
      </c>
      <c r="G50">
        <v>1</v>
      </c>
      <c r="H50" s="4">
        <v>1.89</v>
      </c>
      <c r="I50" t="s">
        <v>19</v>
      </c>
      <c r="J50">
        <v>53</v>
      </c>
      <c r="K50">
        <v>0</v>
      </c>
      <c r="L50">
        <v>6</v>
      </c>
      <c r="M50" s="5">
        <v>5.4</v>
      </c>
      <c r="N50" s="4">
        <f t="shared" si="0"/>
        <v>1.89</v>
      </c>
      <c r="O50">
        <f>HOUR(TIMEVALUE(RetailTransactions[[#This Row],[Time]]))</f>
        <v>12</v>
      </c>
    </row>
    <row r="51" spans="1:15">
      <c r="A51" t="s">
        <v>140</v>
      </c>
      <c r="B51" s="3">
        <v>46214</v>
      </c>
      <c r="C51" t="s">
        <v>59</v>
      </c>
      <c r="D51" t="s">
        <v>66</v>
      </c>
      <c r="E51" t="s">
        <v>120</v>
      </c>
      <c r="F51" t="s">
        <v>50</v>
      </c>
      <c r="G51">
        <v>2</v>
      </c>
      <c r="H51" s="4">
        <v>2.25</v>
      </c>
      <c r="I51" t="s">
        <v>19</v>
      </c>
      <c r="J51">
        <v>55</v>
      </c>
      <c r="K51">
        <v>0</v>
      </c>
      <c r="L51">
        <v>6</v>
      </c>
      <c r="M51" s="5">
        <v>4.2</v>
      </c>
      <c r="N51" s="4">
        <f t="shared" si="0"/>
        <v>4.5</v>
      </c>
      <c r="O51">
        <f>HOUR(TIMEVALUE(RetailTransactions[[#This Row],[Time]]))</f>
        <v>12</v>
      </c>
    </row>
    <row r="52" spans="1:15">
      <c r="A52" t="s">
        <v>141</v>
      </c>
      <c r="B52" s="3">
        <v>46236</v>
      </c>
      <c r="C52" t="s">
        <v>142</v>
      </c>
      <c r="D52" t="s">
        <v>27</v>
      </c>
      <c r="E52" t="s">
        <v>57</v>
      </c>
      <c r="F52" t="s">
        <v>43</v>
      </c>
      <c r="G52">
        <v>1</v>
      </c>
      <c r="H52" s="4">
        <v>1.69</v>
      </c>
      <c r="I52" t="s">
        <v>19</v>
      </c>
      <c r="J52">
        <v>35</v>
      </c>
      <c r="K52">
        <v>2</v>
      </c>
      <c r="L52">
        <v>7</v>
      </c>
      <c r="M52" s="5">
        <v>4.5</v>
      </c>
      <c r="N52" s="4">
        <f t="shared" si="0"/>
        <v>1.69</v>
      </c>
      <c r="O52">
        <f>HOUR(TIMEVALUE(RetailTransactions[[#This Row],[Time]]))</f>
        <v>18</v>
      </c>
    </row>
    <row r="53" spans="1:15">
      <c r="A53" t="s">
        <v>143</v>
      </c>
      <c r="B53" s="3">
        <v>46178</v>
      </c>
      <c r="C53" t="s">
        <v>144</v>
      </c>
      <c r="D53" t="s">
        <v>72</v>
      </c>
      <c r="E53" t="s">
        <v>23</v>
      </c>
      <c r="F53" t="s">
        <v>24</v>
      </c>
      <c r="G53">
        <v>1</v>
      </c>
      <c r="H53" s="4">
        <v>0.95</v>
      </c>
      <c r="I53" t="s">
        <v>19</v>
      </c>
      <c r="J53">
        <v>6</v>
      </c>
      <c r="K53">
        <v>0</v>
      </c>
      <c r="L53">
        <v>6</v>
      </c>
      <c r="M53" s="5">
        <v>5.7</v>
      </c>
      <c r="N53" s="4">
        <f t="shared" si="0"/>
        <v>0.95</v>
      </c>
      <c r="O53">
        <f>HOUR(TIMEVALUE(RetailTransactions[[#This Row],[Time]]))</f>
        <v>17</v>
      </c>
    </row>
    <row r="54" spans="1:15">
      <c r="A54" t="s">
        <v>145</v>
      </c>
      <c r="B54" s="3">
        <v>46200</v>
      </c>
      <c r="C54" t="s">
        <v>130</v>
      </c>
      <c r="D54" t="s">
        <v>66</v>
      </c>
      <c r="E54" t="s">
        <v>60</v>
      </c>
      <c r="F54" t="s">
        <v>29</v>
      </c>
      <c r="G54">
        <v>2</v>
      </c>
      <c r="H54" s="4">
        <v>2.69</v>
      </c>
      <c r="I54" t="s">
        <v>19</v>
      </c>
      <c r="J54">
        <v>9</v>
      </c>
      <c r="K54">
        <v>0</v>
      </c>
      <c r="L54">
        <v>8</v>
      </c>
      <c r="M54" s="5">
        <v>4.2</v>
      </c>
      <c r="N54" s="4">
        <f t="shared" si="0"/>
        <v>5.38</v>
      </c>
      <c r="O54">
        <f>HOUR(TIMEVALUE(RetailTransactions[[#This Row],[Time]]))</f>
        <v>19</v>
      </c>
    </row>
    <row r="55" spans="1:15">
      <c r="A55" t="s">
        <v>146</v>
      </c>
      <c r="B55" s="3">
        <v>46175</v>
      </c>
      <c r="C55" t="s">
        <v>147</v>
      </c>
      <c r="D55" t="s">
        <v>22</v>
      </c>
      <c r="E55" t="s">
        <v>115</v>
      </c>
      <c r="F55" t="s">
        <v>29</v>
      </c>
      <c r="G55">
        <v>1</v>
      </c>
      <c r="H55" s="4">
        <v>3.99</v>
      </c>
      <c r="I55" t="s">
        <v>19</v>
      </c>
      <c r="J55">
        <v>24</v>
      </c>
      <c r="K55">
        <v>0</v>
      </c>
      <c r="L55">
        <v>4</v>
      </c>
      <c r="M55" s="5">
        <v>4.4000000000000004</v>
      </c>
      <c r="N55" s="4">
        <f t="shared" si="0"/>
        <v>3.99</v>
      </c>
      <c r="O55">
        <f>HOUR(TIMEVALUE(RetailTransactions[[#This Row],[Time]]))</f>
        <v>14</v>
      </c>
    </row>
    <row r="56" spans="1:15">
      <c r="A56" t="s">
        <v>148</v>
      </c>
      <c r="B56" s="3">
        <v>46176</v>
      </c>
      <c r="C56" t="s">
        <v>142</v>
      </c>
      <c r="D56" t="s">
        <v>16</v>
      </c>
      <c r="E56" t="s">
        <v>85</v>
      </c>
      <c r="F56" t="s">
        <v>18</v>
      </c>
      <c r="G56">
        <v>1</v>
      </c>
      <c r="H56" s="4">
        <v>2.4900000000000002</v>
      </c>
      <c r="I56" t="s">
        <v>19</v>
      </c>
      <c r="J56">
        <v>46</v>
      </c>
      <c r="K56">
        <v>0</v>
      </c>
      <c r="L56">
        <v>8</v>
      </c>
      <c r="M56" s="5">
        <v>3.4</v>
      </c>
      <c r="N56" s="4">
        <f t="shared" si="0"/>
        <v>2.4900000000000002</v>
      </c>
      <c r="O56">
        <f>HOUR(TIMEVALUE(RetailTransactions[[#This Row],[Time]]))</f>
        <v>18</v>
      </c>
    </row>
    <row r="57" spans="1:15">
      <c r="A57" t="s">
        <v>149</v>
      </c>
      <c r="B57" s="3">
        <v>46215</v>
      </c>
      <c r="C57" t="s">
        <v>150</v>
      </c>
      <c r="D57" t="s">
        <v>27</v>
      </c>
      <c r="E57" t="s">
        <v>60</v>
      </c>
      <c r="F57" t="s">
        <v>29</v>
      </c>
      <c r="G57">
        <v>2</v>
      </c>
      <c r="H57" s="4">
        <v>2.69</v>
      </c>
      <c r="I57" t="s">
        <v>19</v>
      </c>
      <c r="J57">
        <v>44</v>
      </c>
      <c r="K57">
        <v>0</v>
      </c>
      <c r="L57">
        <v>5</v>
      </c>
      <c r="M57" s="5">
        <v>3.4</v>
      </c>
      <c r="N57" s="4">
        <f t="shared" si="0"/>
        <v>5.38</v>
      </c>
      <c r="O57">
        <f>HOUR(TIMEVALUE(RetailTransactions[[#This Row],[Time]]))</f>
        <v>14</v>
      </c>
    </row>
    <row r="58" spans="1:15">
      <c r="A58" t="s">
        <v>151</v>
      </c>
      <c r="B58" s="3">
        <v>46203</v>
      </c>
      <c r="C58" t="s">
        <v>152</v>
      </c>
      <c r="D58" t="s">
        <v>22</v>
      </c>
      <c r="E58" t="s">
        <v>17</v>
      </c>
      <c r="F58" t="s">
        <v>18</v>
      </c>
      <c r="G58">
        <v>3</v>
      </c>
      <c r="H58" s="4">
        <v>1.75</v>
      </c>
      <c r="I58" t="s">
        <v>19</v>
      </c>
      <c r="J58">
        <v>18</v>
      </c>
      <c r="K58">
        <v>0</v>
      </c>
      <c r="L58">
        <v>5</v>
      </c>
      <c r="M58" s="5">
        <v>3.5</v>
      </c>
      <c r="N58" s="4">
        <f t="shared" si="0"/>
        <v>5.25</v>
      </c>
      <c r="O58">
        <f>HOUR(TIMEVALUE(RetailTransactions[[#This Row],[Time]]))</f>
        <v>8</v>
      </c>
    </row>
    <row r="59" spans="1:15">
      <c r="A59" t="s">
        <v>153</v>
      </c>
      <c r="B59" s="3">
        <v>46247</v>
      </c>
      <c r="C59" t="s">
        <v>154</v>
      </c>
      <c r="D59" t="s">
        <v>37</v>
      </c>
      <c r="E59" t="s">
        <v>28</v>
      </c>
      <c r="F59" t="s">
        <v>29</v>
      </c>
      <c r="G59">
        <v>2</v>
      </c>
      <c r="H59" s="4">
        <v>3.29</v>
      </c>
      <c r="I59" t="s">
        <v>19</v>
      </c>
      <c r="J59">
        <v>29</v>
      </c>
      <c r="K59">
        <v>1</v>
      </c>
      <c r="L59">
        <v>4</v>
      </c>
      <c r="M59" s="5">
        <v>3.7</v>
      </c>
      <c r="N59" s="4">
        <f t="shared" si="0"/>
        <v>6.58</v>
      </c>
      <c r="O59">
        <f>HOUR(TIMEVALUE(RetailTransactions[[#This Row],[Time]]))</f>
        <v>16</v>
      </c>
    </row>
    <row r="60" spans="1:15">
      <c r="A60" t="s">
        <v>155</v>
      </c>
      <c r="B60" s="3">
        <v>46259</v>
      </c>
      <c r="C60" t="s">
        <v>156</v>
      </c>
      <c r="D60" t="s">
        <v>22</v>
      </c>
      <c r="E60" t="s">
        <v>46</v>
      </c>
      <c r="F60" t="s">
        <v>24</v>
      </c>
      <c r="G60">
        <v>1</v>
      </c>
      <c r="H60" s="4">
        <v>1.52</v>
      </c>
      <c r="I60" t="s">
        <v>30</v>
      </c>
      <c r="J60">
        <v>50</v>
      </c>
      <c r="K60">
        <v>0</v>
      </c>
      <c r="L60">
        <v>7</v>
      </c>
      <c r="M60" s="5">
        <v>1.6</v>
      </c>
      <c r="N60" s="4">
        <f t="shared" si="0"/>
        <v>1.52</v>
      </c>
      <c r="O60">
        <f>HOUR(TIMEVALUE(RetailTransactions[[#This Row],[Time]]))</f>
        <v>16</v>
      </c>
    </row>
    <row r="61" spans="1:15">
      <c r="A61" t="s">
        <v>157</v>
      </c>
      <c r="B61" s="3">
        <v>46175</v>
      </c>
      <c r="C61" t="s">
        <v>144</v>
      </c>
      <c r="D61" t="s">
        <v>22</v>
      </c>
      <c r="E61" t="s">
        <v>49</v>
      </c>
      <c r="F61" t="s">
        <v>50</v>
      </c>
      <c r="G61">
        <v>1</v>
      </c>
      <c r="H61" s="4">
        <v>3.95</v>
      </c>
      <c r="I61" t="s">
        <v>19</v>
      </c>
      <c r="J61">
        <v>19</v>
      </c>
      <c r="K61">
        <v>0</v>
      </c>
      <c r="L61">
        <v>9</v>
      </c>
      <c r="M61" s="5">
        <v>5.7</v>
      </c>
      <c r="N61" s="4">
        <f t="shared" si="0"/>
        <v>3.95</v>
      </c>
      <c r="O61">
        <f>HOUR(TIMEVALUE(RetailTransactions[[#This Row],[Time]]))</f>
        <v>17</v>
      </c>
    </row>
    <row r="62" spans="1:15">
      <c r="A62" t="s">
        <v>158</v>
      </c>
      <c r="B62" s="3">
        <v>46242</v>
      </c>
      <c r="C62" t="s">
        <v>62</v>
      </c>
      <c r="D62" t="s">
        <v>66</v>
      </c>
      <c r="E62" t="s">
        <v>78</v>
      </c>
      <c r="F62" t="s">
        <v>39</v>
      </c>
      <c r="G62">
        <v>3</v>
      </c>
      <c r="H62" s="4">
        <v>1.55</v>
      </c>
      <c r="I62" t="s">
        <v>19</v>
      </c>
      <c r="J62">
        <v>32</v>
      </c>
      <c r="K62">
        <v>0</v>
      </c>
      <c r="L62">
        <v>8</v>
      </c>
      <c r="M62" s="5">
        <v>3.8</v>
      </c>
      <c r="N62" s="4">
        <f t="shared" si="0"/>
        <v>4.6500000000000004</v>
      </c>
      <c r="O62">
        <f>HOUR(TIMEVALUE(RetailTransactions[[#This Row],[Time]]))</f>
        <v>18</v>
      </c>
    </row>
    <row r="63" spans="1:15">
      <c r="A63" t="s">
        <v>159</v>
      </c>
      <c r="B63" s="3">
        <v>46209</v>
      </c>
      <c r="C63" t="s">
        <v>95</v>
      </c>
      <c r="D63" t="s">
        <v>33</v>
      </c>
      <c r="E63" t="s">
        <v>60</v>
      </c>
      <c r="F63" t="s">
        <v>29</v>
      </c>
      <c r="G63">
        <v>4</v>
      </c>
      <c r="H63" s="4">
        <v>2.69</v>
      </c>
      <c r="I63" t="s">
        <v>19</v>
      </c>
      <c r="J63">
        <v>24</v>
      </c>
      <c r="K63">
        <v>0</v>
      </c>
      <c r="L63">
        <v>7</v>
      </c>
      <c r="M63" s="5">
        <v>2.4</v>
      </c>
      <c r="N63" s="4">
        <f t="shared" si="0"/>
        <v>10.76</v>
      </c>
      <c r="O63">
        <f>HOUR(TIMEVALUE(RetailTransactions[[#This Row],[Time]]))</f>
        <v>16</v>
      </c>
    </row>
    <row r="64" spans="1:15">
      <c r="A64" t="s">
        <v>160</v>
      </c>
      <c r="B64" s="3">
        <v>46245</v>
      </c>
      <c r="C64" t="s">
        <v>161</v>
      </c>
      <c r="D64" t="s">
        <v>22</v>
      </c>
      <c r="E64" t="s">
        <v>34</v>
      </c>
      <c r="F64" t="s">
        <v>24</v>
      </c>
      <c r="G64">
        <v>1</v>
      </c>
      <c r="H64" s="4">
        <v>1.27</v>
      </c>
      <c r="I64" t="s">
        <v>30</v>
      </c>
      <c r="J64">
        <v>37</v>
      </c>
      <c r="K64">
        <v>1</v>
      </c>
      <c r="L64">
        <v>7</v>
      </c>
      <c r="M64" s="5">
        <v>6</v>
      </c>
      <c r="N64" s="4">
        <f t="shared" si="0"/>
        <v>1.27</v>
      </c>
      <c r="O64">
        <f>HOUR(TIMEVALUE(RetailTransactions[[#This Row],[Time]]))</f>
        <v>19</v>
      </c>
    </row>
    <row r="65" spans="1:15">
      <c r="A65" t="s">
        <v>162</v>
      </c>
      <c r="B65" s="3">
        <v>46227</v>
      </c>
      <c r="C65" t="s">
        <v>163</v>
      </c>
      <c r="D65" t="s">
        <v>72</v>
      </c>
      <c r="E65" t="s">
        <v>34</v>
      </c>
      <c r="F65" t="s">
        <v>24</v>
      </c>
      <c r="G65">
        <v>1</v>
      </c>
      <c r="H65" s="4">
        <v>1.49</v>
      </c>
      <c r="I65" t="s">
        <v>19</v>
      </c>
      <c r="J65">
        <v>15</v>
      </c>
      <c r="K65">
        <v>0</v>
      </c>
      <c r="L65">
        <v>9</v>
      </c>
      <c r="M65" s="5">
        <v>6.2</v>
      </c>
      <c r="N65" s="4">
        <f t="shared" si="0"/>
        <v>1.49</v>
      </c>
      <c r="O65">
        <f>HOUR(TIMEVALUE(RetailTransactions[[#This Row],[Time]]))</f>
        <v>17</v>
      </c>
    </row>
    <row r="66" spans="1:15">
      <c r="A66" t="s">
        <v>164</v>
      </c>
      <c r="B66" s="3">
        <v>46230</v>
      </c>
      <c r="C66" t="s">
        <v>97</v>
      </c>
      <c r="D66" t="s">
        <v>33</v>
      </c>
      <c r="E66" t="s">
        <v>106</v>
      </c>
      <c r="F66" t="s">
        <v>18</v>
      </c>
      <c r="G66">
        <v>1</v>
      </c>
      <c r="H66" s="4">
        <v>1.89</v>
      </c>
      <c r="I66" t="s">
        <v>19</v>
      </c>
      <c r="J66">
        <v>52</v>
      </c>
      <c r="K66">
        <v>0</v>
      </c>
      <c r="L66">
        <v>6</v>
      </c>
      <c r="M66" s="5">
        <v>2</v>
      </c>
      <c r="N66" s="4">
        <f t="shared" ref="N66:N129" si="1">G66*H66</f>
        <v>1.89</v>
      </c>
      <c r="O66">
        <f>HOUR(TIMEVALUE(RetailTransactions[[#This Row],[Time]]))</f>
        <v>21</v>
      </c>
    </row>
    <row r="67" spans="1:15">
      <c r="A67" t="s">
        <v>165</v>
      </c>
      <c r="B67" s="3">
        <v>46207</v>
      </c>
      <c r="C67" t="s">
        <v>166</v>
      </c>
      <c r="D67" t="s">
        <v>66</v>
      </c>
      <c r="E67" t="s">
        <v>57</v>
      </c>
      <c r="F67" t="s">
        <v>43</v>
      </c>
      <c r="G67">
        <v>2</v>
      </c>
      <c r="H67" s="4">
        <v>1.44</v>
      </c>
      <c r="I67" t="s">
        <v>30</v>
      </c>
      <c r="J67">
        <v>3</v>
      </c>
      <c r="K67">
        <v>3</v>
      </c>
      <c r="L67">
        <v>7</v>
      </c>
      <c r="M67" s="5">
        <v>1.9</v>
      </c>
      <c r="N67" s="4">
        <f t="shared" si="1"/>
        <v>2.88</v>
      </c>
      <c r="O67">
        <f>HOUR(TIMEVALUE(RetailTransactions[[#This Row],[Time]]))</f>
        <v>7</v>
      </c>
    </row>
    <row r="68" spans="1:15">
      <c r="A68" t="s">
        <v>167</v>
      </c>
      <c r="B68" s="3">
        <v>46235</v>
      </c>
      <c r="C68" t="s">
        <v>168</v>
      </c>
      <c r="D68" t="s">
        <v>66</v>
      </c>
      <c r="E68" t="s">
        <v>46</v>
      </c>
      <c r="F68" t="s">
        <v>24</v>
      </c>
      <c r="G68">
        <v>1</v>
      </c>
      <c r="H68" s="4">
        <v>1.79</v>
      </c>
      <c r="I68" t="s">
        <v>19</v>
      </c>
      <c r="J68">
        <v>27</v>
      </c>
      <c r="K68">
        <v>0</v>
      </c>
      <c r="L68">
        <v>6</v>
      </c>
      <c r="M68" s="5">
        <v>3.2</v>
      </c>
      <c r="N68" s="4">
        <f t="shared" si="1"/>
        <v>1.79</v>
      </c>
      <c r="O68">
        <f>HOUR(TIMEVALUE(RetailTransactions[[#This Row],[Time]]))</f>
        <v>13</v>
      </c>
    </row>
    <row r="69" spans="1:15">
      <c r="A69" t="s">
        <v>169</v>
      </c>
      <c r="B69" s="3">
        <v>46175</v>
      </c>
      <c r="C69" t="s">
        <v>170</v>
      </c>
      <c r="D69" t="s">
        <v>22</v>
      </c>
      <c r="E69" t="s">
        <v>120</v>
      </c>
      <c r="F69" t="s">
        <v>50</v>
      </c>
      <c r="G69">
        <v>1</v>
      </c>
      <c r="H69" s="4">
        <v>2.25</v>
      </c>
      <c r="I69" t="s">
        <v>19</v>
      </c>
      <c r="J69">
        <v>38</v>
      </c>
      <c r="K69">
        <v>0</v>
      </c>
      <c r="L69">
        <v>9</v>
      </c>
      <c r="M69" s="5">
        <v>4.5</v>
      </c>
      <c r="N69" s="4">
        <f t="shared" si="1"/>
        <v>2.25</v>
      </c>
      <c r="O69">
        <f>HOUR(TIMEVALUE(RetailTransactions[[#This Row],[Time]]))</f>
        <v>13</v>
      </c>
    </row>
    <row r="70" spans="1:15">
      <c r="A70" t="s">
        <v>171</v>
      </c>
      <c r="B70" s="3">
        <v>46188</v>
      </c>
      <c r="C70" t="s">
        <v>89</v>
      </c>
      <c r="D70" t="s">
        <v>33</v>
      </c>
      <c r="E70" t="s">
        <v>57</v>
      </c>
      <c r="F70" t="s">
        <v>43</v>
      </c>
      <c r="G70">
        <v>2</v>
      </c>
      <c r="H70" s="4">
        <v>1.69</v>
      </c>
      <c r="I70" t="s">
        <v>19</v>
      </c>
      <c r="J70">
        <v>32</v>
      </c>
      <c r="K70">
        <v>2</v>
      </c>
      <c r="L70">
        <v>6</v>
      </c>
      <c r="M70" s="5">
        <v>2.6</v>
      </c>
      <c r="N70" s="4">
        <f t="shared" si="1"/>
        <v>3.38</v>
      </c>
      <c r="O70">
        <f>HOUR(TIMEVALUE(RetailTransactions[[#This Row],[Time]]))</f>
        <v>14</v>
      </c>
    </row>
    <row r="71" spans="1:15">
      <c r="A71" t="s">
        <v>172</v>
      </c>
      <c r="B71" s="3">
        <v>46214</v>
      </c>
      <c r="C71" t="s">
        <v>45</v>
      </c>
      <c r="D71" t="s">
        <v>66</v>
      </c>
      <c r="E71" t="s">
        <v>120</v>
      </c>
      <c r="F71" t="s">
        <v>50</v>
      </c>
      <c r="G71">
        <v>1</v>
      </c>
      <c r="H71" s="4">
        <v>2.25</v>
      </c>
      <c r="I71" t="s">
        <v>19</v>
      </c>
      <c r="J71">
        <v>3</v>
      </c>
      <c r="K71">
        <v>0</v>
      </c>
      <c r="L71">
        <v>9</v>
      </c>
      <c r="M71" s="5">
        <v>3.8</v>
      </c>
      <c r="N71" s="4">
        <f t="shared" si="1"/>
        <v>2.25</v>
      </c>
      <c r="O71">
        <f>HOUR(TIMEVALUE(RetailTransactions[[#This Row],[Time]]))</f>
        <v>13</v>
      </c>
    </row>
    <row r="72" spans="1:15">
      <c r="A72" t="s">
        <v>173</v>
      </c>
      <c r="B72" s="3">
        <v>46188</v>
      </c>
      <c r="C72" t="s">
        <v>84</v>
      </c>
      <c r="D72" t="s">
        <v>33</v>
      </c>
      <c r="E72" t="s">
        <v>69</v>
      </c>
      <c r="F72" t="s">
        <v>43</v>
      </c>
      <c r="G72">
        <v>2</v>
      </c>
      <c r="H72" s="4">
        <v>1.99</v>
      </c>
      <c r="I72" t="s">
        <v>19</v>
      </c>
      <c r="J72">
        <v>25</v>
      </c>
      <c r="K72">
        <v>0</v>
      </c>
      <c r="L72">
        <v>5</v>
      </c>
      <c r="M72" s="5">
        <v>4.5999999999999996</v>
      </c>
      <c r="N72" s="4">
        <f t="shared" si="1"/>
        <v>3.98</v>
      </c>
      <c r="O72">
        <f>HOUR(TIMEVALUE(RetailTransactions[[#This Row],[Time]]))</f>
        <v>14</v>
      </c>
    </row>
    <row r="73" spans="1:15">
      <c r="A73" t="s">
        <v>174</v>
      </c>
      <c r="B73" s="3">
        <v>46199</v>
      </c>
      <c r="C73" t="s">
        <v>15</v>
      </c>
      <c r="D73" t="s">
        <v>72</v>
      </c>
      <c r="E73" t="s">
        <v>115</v>
      </c>
      <c r="F73" t="s">
        <v>29</v>
      </c>
      <c r="G73">
        <v>2</v>
      </c>
      <c r="H73" s="4">
        <v>3.39</v>
      </c>
      <c r="I73" t="s">
        <v>30</v>
      </c>
      <c r="J73">
        <v>12</v>
      </c>
      <c r="K73">
        <v>0</v>
      </c>
      <c r="L73">
        <v>7</v>
      </c>
      <c r="M73" s="5">
        <v>2.2000000000000002</v>
      </c>
      <c r="N73" s="4">
        <f t="shared" si="1"/>
        <v>6.78</v>
      </c>
      <c r="O73">
        <f>HOUR(TIMEVALUE(RetailTransactions[[#This Row],[Time]]))</f>
        <v>16</v>
      </c>
    </row>
    <row r="74" spans="1:15">
      <c r="A74" t="s">
        <v>175</v>
      </c>
      <c r="B74" s="3">
        <v>46195</v>
      </c>
      <c r="C74" t="s">
        <v>176</v>
      </c>
      <c r="D74" t="s">
        <v>33</v>
      </c>
      <c r="E74" t="s">
        <v>120</v>
      </c>
      <c r="F74" t="s">
        <v>50</v>
      </c>
      <c r="G74">
        <v>2</v>
      </c>
      <c r="H74" s="4">
        <v>2.25</v>
      </c>
      <c r="I74" t="s">
        <v>19</v>
      </c>
      <c r="J74">
        <v>31</v>
      </c>
      <c r="K74">
        <v>0</v>
      </c>
      <c r="L74">
        <v>5</v>
      </c>
      <c r="M74" s="5">
        <v>4</v>
      </c>
      <c r="N74" s="4">
        <f t="shared" si="1"/>
        <v>4.5</v>
      </c>
      <c r="O74">
        <f>HOUR(TIMEVALUE(RetailTransactions[[#This Row],[Time]]))</f>
        <v>11</v>
      </c>
    </row>
    <row r="75" spans="1:15">
      <c r="A75" t="s">
        <v>177</v>
      </c>
      <c r="B75" s="3">
        <v>46217</v>
      </c>
      <c r="C75" t="s">
        <v>178</v>
      </c>
      <c r="D75" t="s">
        <v>22</v>
      </c>
      <c r="E75" t="s">
        <v>28</v>
      </c>
      <c r="F75" t="s">
        <v>29</v>
      </c>
      <c r="G75">
        <v>1</v>
      </c>
      <c r="H75" s="4">
        <v>3.29</v>
      </c>
      <c r="I75" t="s">
        <v>19</v>
      </c>
      <c r="J75">
        <v>53</v>
      </c>
      <c r="K75">
        <v>0</v>
      </c>
      <c r="L75">
        <v>6</v>
      </c>
      <c r="M75" s="5">
        <v>1.7</v>
      </c>
      <c r="N75" s="4">
        <f t="shared" si="1"/>
        <v>3.29</v>
      </c>
      <c r="O75">
        <f>HOUR(TIMEVALUE(RetailTransactions[[#This Row],[Time]]))</f>
        <v>15</v>
      </c>
    </row>
    <row r="76" spans="1:15">
      <c r="A76" t="s">
        <v>179</v>
      </c>
      <c r="B76" s="3">
        <v>46194</v>
      </c>
      <c r="C76" t="s">
        <v>156</v>
      </c>
      <c r="D76" t="s">
        <v>27</v>
      </c>
      <c r="E76" t="s">
        <v>28</v>
      </c>
      <c r="F76" t="s">
        <v>29</v>
      </c>
      <c r="G76">
        <v>3</v>
      </c>
      <c r="H76" s="4">
        <v>3.29</v>
      </c>
      <c r="I76" t="s">
        <v>19</v>
      </c>
      <c r="J76">
        <v>26</v>
      </c>
      <c r="K76">
        <v>0</v>
      </c>
      <c r="L76">
        <v>6</v>
      </c>
      <c r="M76" s="5">
        <v>2</v>
      </c>
      <c r="N76" s="4">
        <f t="shared" si="1"/>
        <v>9.870000000000001</v>
      </c>
      <c r="O76">
        <f>HOUR(TIMEVALUE(RetailTransactions[[#This Row],[Time]]))</f>
        <v>16</v>
      </c>
    </row>
    <row r="77" spans="1:15">
      <c r="A77" t="s">
        <v>180</v>
      </c>
      <c r="B77" s="3">
        <v>46219</v>
      </c>
      <c r="C77" t="s">
        <v>181</v>
      </c>
      <c r="D77" t="s">
        <v>37</v>
      </c>
      <c r="E77" t="s">
        <v>34</v>
      </c>
      <c r="F77" t="s">
        <v>24</v>
      </c>
      <c r="G77">
        <v>1</v>
      </c>
      <c r="H77" s="4">
        <v>1.27</v>
      </c>
      <c r="I77" t="s">
        <v>30</v>
      </c>
      <c r="J77">
        <v>57</v>
      </c>
      <c r="K77">
        <v>0</v>
      </c>
      <c r="L77">
        <v>6</v>
      </c>
      <c r="M77" s="5">
        <v>2.2000000000000002</v>
      </c>
      <c r="N77" s="4">
        <f t="shared" si="1"/>
        <v>1.27</v>
      </c>
      <c r="O77">
        <f>HOUR(TIMEVALUE(RetailTransactions[[#This Row],[Time]]))</f>
        <v>9</v>
      </c>
    </row>
    <row r="78" spans="1:15">
      <c r="A78" t="s">
        <v>182</v>
      </c>
      <c r="B78" s="3">
        <v>46178</v>
      </c>
      <c r="C78" t="s">
        <v>41</v>
      </c>
      <c r="D78" t="s">
        <v>72</v>
      </c>
      <c r="E78" t="s">
        <v>106</v>
      </c>
      <c r="F78" t="s">
        <v>18</v>
      </c>
      <c r="G78">
        <v>1</v>
      </c>
      <c r="H78" s="4">
        <v>1.61</v>
      </c>
      <c r="I78" t="s">
        <v>30</v>
      </c>
      <c r="J78">
        <v>30</v>
      </c>
      <c r="K78">
        <v>0</v>
      </c>
      <c r="L78">
        <v>4</v>
      </c>
      <c r="M78" s="5">
        <v>3.5</v>
      </c>
      <c r="N78" s="4">
        <f t="shared" si="1"/>
        <v>1.61</v>
      </c>
      <c r="O78">
        <f>HOUR(TIMEVALUE(RetailTransactions[[#This Row],[Time]]))</f>
        <v>15</v>
      </c>
    </row>
    <row r="79" spans="1:15">
      <c r="A79" t="s">
        <v>183</v>
      </c>
      <c r="B79" s="3">
        <v>46227</v>
      </c>
      <c r="C79" t="s">
        <v>36</v>
      </c>
      <c r="D79" t="s">
        <v>72</v>
      </c>
      <c r="E79" t="s">
        <v>57</v>
      </c>
      <c r="F79" t="s">
        <v>43</v>
      </c>
      <c r="G79">
        <v>1</v>
      </c>
      <c r="H79" s="4">
        <v>1.69</v>
      </c>
      <c r="I79" t="s">
        <v>19</v>
      </c>
      <c r="J79">
        <v>10</v>
      </c>
      <c r="K79">
        <v>0</v>
      </c>
      <c r="L79">
        <v>6</v>
      </c>
      <c r="M79" s="5">
        <v>4.0999999999999996</v>
      </c>
      <c r="N79" s="4">
        <f t="shared" si="1"/>
        <v>1.69</v>
      </c>
      <c r="O79">
        <f>HOUR(TIMEVALUE(RetailTransactions[[#This Row],[Time]]))</f>
        <v>12</v>
      </c>
    </row>
    <row r="80" spans="1:15">
      <c r="A80" t="s">
        <v>184</v>
      </c>
      <c r="B80" s="3">
        <v>46179</v>
      </c>
      <c r="C80" t="s">
        <v>93</v>
      </c>
      <c r="D80" t="s">
        <v>66</v>
      </c>
      <c r="E80" t="s">
        <v>125</v>
      </c>
      <c r="F80" t="s">
        <v>39</v>
      </c>
      <c r="G80">
        <v>2</v>
      </c>
      <c r="H80" s="4">
        <v>1.85</v>
      </c>
      <c r="I80" t="s">
        <v>19</v>
      </c>
      <c r="J80">
        <v>41</v>
      </c>
      <c r="K80">
        <v>0</v>
      </c>
      <c r="L80">
        <v>7</v>
      </c>
      <c r="M80" s="5">
        <v>3.8</v>
      </c>
      <c r="N80" s="4">
        <f t="shared" si="1"/>
        <v>3.7</v>
      </c>
      <c r="O80">
        <f>HOUR(TIMEVALUE(RetailTransactions[[#This Row],[Time]]))</f>
        <v>12</v>
      </c>
    </row>
    <row r="81" spans="1:15">
      <c r="A81" t="s">
        <v>185</v>
      </c>
      <c r="B81" s="3">
        <v>46249</v>
      </c>
      <c r="C81" t="s">
        <v>186</v>
      </c>
      <c r="D81" t="s">
        <v>66</v>
      </c>
      <c r="E81" t="s">
        <v>106</v>
      </c>
      <c r="F81" t="s">
        <v>18</v>
      </c>
      <c r="G81">
        <v>2</v>
      </c>
      <c r="H81" s="4">
        <v>1.61</v>
      </c>
      <c r="I81" t="s">
        <v>30</v>
      </c>
      <c r="J81">
        <v>23</v>
      </c>
      <c r="K81">
        <v>0</v>
      </c>
      <c r="L81">
        <v>6</v>
      </c>
      <c r="M81" s="5">
        <v>4.4000000000000004</v>
      </c>
      <c r="N81" s="4">
        <f t="shared" si="1"/>
        <v>3.22</v>
      </c>
      <c r="O81">
        <f>HOUR(TIMEVALUE(RetailTransactions[[#This Row],[Time]]))</f>
        <v>18</v>
      </c>
    </row>
    <row r="82" spans="1:15">
      <c r="A82" t="s">
        <v>187</v>
      </c>
      <c r="B82" s="3">
        <v>46201</v>
      </c>
      <c r="C82" t="s">
        <v>62</v>
      </c>
      <c r="D82" t="s">
        <v>27</v>
      </c>
      <c r="E82" t="s">
        <v>106</v>
      </c>
      <c r="F82" t="s">
        <v>18</v>
      </c>
      <c r="G82">
        <v>3</v>
      </c>
      <c r="H82" s="4">
        <v>1.89</v>
      </c>
      <c r="I82" t="s">
        <v>19</v>
      </c>
      <c r="J82">
        <v>36</v>
      </c>
      <c r="K82">
        <v>0</v>
      </c>
      <c r="L82">
        <v>8</v>
      </c>
      <c r="M82" s="5">
        <v>6.7</v>
      </c>
      <c r="N82" s="4">
        <f t="shared" si="1"/>
        <v>5.67</v>
      </c>
      <c r="O82">
        <f>HOUR(TIMEVALUE(RetailTransactions[[#This Row],[Time]]))</f>
        <v>18</v>
      </c>
    </row>
    <row r="83" spans="1:15">
      <c r="A83" t="s">
        <v>188</v>
      </c>
      <c r="B83" s="3">
        <v>46188</v>
      </c>
      <c r="C83" t="s">
        <v>189</v>
      </c>
      <c r="D83" t="s">
        <v>33</v>
      </c>
      <c r="E83" t="s">
        <v>115</v>
      </c>
      <c r="F83" t="s">
        <v>29</v>
      </c>
      <c r="G83">
        <v>2</v>
      </c>
      <c r="H83" s="4">
        <v>3.99</v>
      </c>
      <c r="I83" t="s">
        <v>19</v>
      </c>
      <c r="J83">
        <v>34</v>
      </c>
      <c r="K83">
        <v>0</v>
      </c>
      <c r="L83">
        <v>6</v>
      </c>
      <c r="M83" s="5">
        <v>5.6</v>
      </c>
      <c r="N83" s="4">
        <f t="shared" si="1"/>
        <v>7.98</v>
      </c>
      <c r="O83">
        <f>HOUR(TIMEVALUE(RetailTransactions[[#This Row],[Time]]))</f>
        <v>17</v>
      </c>
    </row>
    <row r="84" spans="1:15">
      <c r="A84" t="s">
        <v>190</v>
      </c>
      <c r="B84" s="3">
        <v>46200</v>
      </c>
      <c r="C84" t="s">
        <v>191</v>
      </c>
      <c r="D84" t="s">
        <v>66</v>
      </c>
      <c r="E84" t="s">
        <v>28</v>
      </c>
      <c r="F84" t="s">
        <v>29</v>
      </c>
      <c r="G84">
        <v>2</v>
      </c>
      <c r="H84" s="4">
        <v>3.29</v>
      </c>
      <c r="I84" t="s">
        <v>19</v>
      </c>
      <c r="J84">
        <v>11</v>
      </c>
      <c r="K84">
        <v>0</v>
      </c>
      <c r="L84">
        <v>6</v>
      </c>
      <c r="M84" s="5">
        <v>2.2999999999999998</v>
      </c>
      <c r="N84" s="4">
        <f t="shared" si="1"/>
        <v>6.58</v>
      </c>
      <c r="O84">
        <f>HOUR(TIMEVALUE(RetailTransactions[[#This Row],[Time]]))</f>
        <v>7</v>
      </c>
    </row>
    <row r="85" spans="1:15">
      <c r="A85" t="s">
        <v>192</v>
      </c>
      <c r="B85" s="3">
        <v>46257</v>
      </c>
      <c r="C85" t="s">
        <v>114</v>
      </c>
      <c r="D85" t="s">
        <v>27</v>
      </c>
      <c r="E85" t="s">
        <v>46</v>
      </c>
      <c r="F85" t="s">
        <v>24</v>
      </c>
      <c r="G85">
        <v>2</v>
      </c>
      <c r="H85" s="4">
        <v>1.79</v>
      </c>
      <c r="I85" t="s">
        <v>19</v>
      </c>
      <c r="J85">
        <v>60</v>
      </c>
      <c r="K85">
        <v>0</v>
      </c>
      <c r="L85">
        <v>6</v>
      </c>
      <c r="M85" s="5">
        <v>2.8</v>
      </c>
      <c r="N85" s="4">
        <f t="shared" si="1"/>
        <v>3.58</v>
      </c>
      <c r="O85">
        <f>HOUR(TIMEVALUE(RetailTransactions[[#This Row],[Time]]))</f>
        <v>17</v>
      </c>
    </row>
    <row r="86" spans="1:15">
      <c r="A86" t="s">
        <v>193</v>
      </c>
      <c r="B86" s="3">
        <v>46215</v>
      </c>
      <c r="C86" t="s">
        <v>181</v>
      </c>
      <c r="D86" t="s">
        <v>27</v>
      </c>
      <c r="E86" t="s">
        <v>85</v>
      </c>
      <c r="F86" t="s">
        <v>18</v>
      </c>
      <c r="G86">
        <v>1</v>
      </c>
      <c r="H86" s="4">
        <v>2.4900000000000002</v>
      </c>
      <c r="I86" t="s">
        <v>19</v>
      </c>
      <c r="J86">
        <v>45</v>
      </c>
      <c r="K86">
        <v>0</v>
      </c>
      <c r="L86">
        <v>5</v>
      </c>
      <c r="M86" s="5">
        <v>5.4</v>
      </c>
      <c r="N86" s="4">
        <f t="shared" si="1"/>
        <v>2.4900000000000002</v>
      </c>
      <c r="O86">
        <f>HOUR(TIMEVALUE(RetailTransactions[[#This Row],[Time]]))</f>
        <v>9</v>
      </c>
    </row>
    <row r="87" spans="1:15">
      <c r="A87" t="s">
        <v>194</v>
      </c>
      <c r="B87" s="3">
        <v>46248</v>
      </c>
      <c r="C87" t="s">
        <v>195</v>
      </c>
      <c r="D87" t="s">
        <v>72</v>
      </c>
      <c r="E87" t="s">
        <v>106</v>
      </c>
      <c r="F87" t="s">
        <v>18</v>
      </c>
      <c r="G87">
        <v>1</v>
      </c>
      <c r="H87" s="4">
        <v>1.89</v>
      </c>
      <c r="I87" t="s">
        <v>19</v>
      </c>
      <c r="J87">
        <v>36</v>
      </c>
      <c r="K87">
        <v>0</v>
      </c>
      <c r="L87">
        <v>5</v>
      </c>
      <c r="M87" s="5">
        <v>4.5999999999999996</v>
      </c>
      <c r="N87" s="4">
        <f t="shared" si="1"/>
        <v>1.89</v>
      </c>
      <c r="O87">
        <f>HOUR(TIMEVALUE(RetailTransactions[[#This Row],[Time]]))</f>
        <v>15</v>
      </c>
    </row>
    <row r="88" spans="1:15">
      <c r="A88" t="s">
        <v>196</v>
      </c>
      <c r="B88" s="3">
        <v>46263</v>
      </c>
      <c r="C88" t="s">
        <v>197</v>
      </c>
      <c r="D88" t="s">
        <v>66</v>
      </c>
      <c r="E88" t="s">
        <v>46</v>
      </c>
      <c r="F88" t="s">
        <v>24</v>
      </c>
      <c r="G88">
        <v>1</v>
      </c>
      <c r="H88" s="4">
        <v>1.79</v>
      </c>
      <c r="I88" t="s">
        <v>19</v>
      </c>
      <c r="J88">
        <v>60</v>
      </c>
      <c r="K88">
        <v>0</v>
      </c>
      <c r="L88">
        <v>6</v>
      </c>
      <c r="M88" s="5">
        <v>1.9</v>
      </c>
      <c r="N88" s="4">
        <f t="shared" si="1"/>
        <v>1.79</v>
      </c>
      <c r="O88">
        <f>HOUR(TIMEVALUE(RetailTransactions[[#This Row],[Time]]))</f>
        <v>10</v>
      </c>
    </row>
    <row r="89" spans="1:15">
      <c r="A89" t="s">
        <v>198</v>
      </c>
      <c r="B89" s="3">
        <v>46253</v>
      </c>
      <c r="C89" t="s">
        <v>77</v>
      </c>
      <c r="D89" t="s">
        <v>16</v>
      </c>
      <c r="E89" t="s">
        <v>106</v>
      </c>
      <c r="F89" t="s">
        <v>18</v>
      </c>
      <c r="G89">
        <v>1</v>
      </c>
      <c r="H89" s="4">
        <v>1.89</v>
      </c>
      <c r="I89" t="s">
        <v>19</v>
      </c>
      <c r="J89">
        <v>26</v>
      </c>
      <c r="K89">
        <v>0</v>
      </c>
      <c r="L89">
        <v>7</v>
      </c>
      <c r="M89" s="5">
        <v>4.2</v>
      </c>
      <c r="N89" s="4">
        <f t="shared" si="1"/>
        <v>1.89</v>
      </c>
      <c r="O89">
        <f>HOUR(TIMEVALUE(RetailTransactions[[#This Row],[Time]]))</f>
        <v>12</v>
      </c>
    </row>
    <row r="90" spans="1:15">
      <c r="A90" t="s">
        <v>199</v>
      </c>
      <c r="B90" s="3">
        <v>46237</v>
      </c>
      <c r="C90" t="s">
        <v>200</v>
      </c>
      <c r="D90" t="s">
        <v>33</v>
      </c>
      <c r="E90" t="s">
        <v>28</v>
      </c>
      <c r="F90" t="s">
        <v>29</v>
      </c>
      <c r="G90">
        <v>1</v>
      </c>
      <c r="H90" s="4">
        <v>3.29</v>
      </c>
      <c r="I90" t="s">
        <v>19</v>
      </c>
      <c r="J90">
        <v>23</v>
      </c>
      <c r="K90">
        <v>0</v>
      </c>
      <c r="L90">
        <v>7</v>
      </c>
      <c r="M90" s="5">
        <v>2.2000000000000002</v>
      </c>
      <c r="N90" s="4">
        <f t="shared" si="1"/>
        <v>3.29</v>
      </c>
      <c r="O90">
        <f>HOUR(TIMEVALUE(RetailTransactions[[#This Row],[Time]]))</f>
        <v>9</v>
      </c>
    </row>
    <row r="91" spans="1:15">
      <c r="A91" t="s">
        <v>201</v>
      </c>
      <c r="B91" s="3">
        <v>46228</v>
      </c>
      <c r="C91" t="s">
        <v>202</v>
      </c>
      <c r="D91" t="s">
        <v>66</v>
      </c>
      <c r="E91" t="s">
        <v>85</v>
      </c>
      <c r="F91" t="s">
        <v>18</v>
      </c>
      <c r="G91">
        <v>4</v>
      </c>
      <c r="H91" s="4">
        <v>2.4900000000000002</v>
      </c>
      <c r="I91" t="s">
        <v>19</v>
      </c>
      <c r="J91">
        <v>45</v>
      </c>
      <c r="K91">
        <v>0</v>
      </c>
      <c r="L91">
        <v>6</v>
      </c>
      <c r="M91" s="5">
        <v>4.5</v>
      </c>
      <c r="N91" s="4">
        <f t="shared" si="1"/>
        <v>9.9600000000000009</v>
      </c>
      <c r="O91">
        <f>HOUR(TIMEVALUE(RetailTransactions[[#This Row],[Time]]))</f>
        <v>13</v>
      </c>
    </row>
    <row r="92" spans="1:15">
      <c r="A92" t="s">
        <v>203</v>
      </c>
      <c r="B92" s="3">
        <v>46249</v>
      </c>
      <c r="C92" t="s">
        <v>204</v>
      </c>
      <c r="D92" t="s">
        <v>66</v>
      </c>
      <c r="E92" t="s">
        <v>34</v>
      </c>
      <c r="F92" t="s">
        <v>24</v>
      </c>
      <c r="G92">
        <v>1</v>
      </c>
      <c r="H92" s="4">
        <v>1.27</v>
      </c>
      <c r="I92" t="s">
        <v>30</v>
      </c>
      <c r="J92">
        <v>33</v>
      </c>
      <c r="K92">
        <v>0</v>
      </c>
      <c r="L92">
        <v>5</v>
      </c>
      <c r="M92" s="5">
        <v>3.3</v>
      </c>
      <c r="N92" s="4">
        <f t="shared" si="1"/>
        <v>1.27</v>
      </c>
      <c r="O92">
        <f>HOUR(TIMEVALUE(RetailTransactions[[#This Row],[Time]]))</f>
        <v>14</v>
      </c>
    </row>
    <row r="93" spans="1:15">
      <c r="A93" t="s">
        <v>205</v>
      </c>
      <c r="B93" s="3">
        <v>46221</v>
      </c>
      <c r="C93" t="s">
        <v>71</v>
      </c>
      <c r="D93" t="s">
        <v>66</v>
      </c>
      <c r="E93" t="s">
        <v>42</v>
      </c>
      <c r="F93" t="s">
        <v>43</v>
      </c>
      <c r="G93">
        <v>1</v>
      </c>
      <c r="H93" s="4">
        <v>1.18</v>
      </c>
      <c r="I93" t="s">
        <v>30</v>
      </c>
      <c r="J93">
        <v>44</v>
      </c>
      <c r="K93">
        <v>0</v>
      </c>
      <c r="L93">
        <v>9</v>
      </c>
      <c r="M93" s="5">
        <v>6.2</v>
      </c>
      <c r="N93" s="4">
        <f t="shared" si="1"/>
        <v>1.18</v>
      </c>
      <c r="O93">
        <f>HOUR(TIMEVALUE(RetailTransactions[[#This Row],[Time]]))</f>
        <v>17</v>
      </c>
    </row>
    <row r="94" spans="1:15">
      <c r="A94" t="s">
        <v>206</v>
      </c>
      <c r="B94" s="3">
        <v>46214</v>
      </c>
      <c r="C94" t="s">
        <v>207</v>
      </c>
      <c r="D94" t="s">
        <v>66</v>
      </c>
      <c r="E94" t="s">
        <v>28</v>
      </c>
      <c r="F94" t="s">
        <v>29</v>
      </c>
      <c r="G94">
        <v>1</v>
      </c>
      <c r="H94" s="4">
        <v>3.29</v>
      </c>
      <c r="I94" t="s">
        <v>19</v>
      </c>
      <c r="J94">
        <v>21</v>
      </c>
      <c r="K94">
        <v>0</v>
      </c>
      <c r="L94">
        <v>6</v>
      </c>
      <c r="M94" s="5">
        <v>1.3</v>
      </c>
      <c r="N94" s="4">
        <f t="shared" si="1"/>
        <v>3.29</v>
      </c>
      <c r="O94">
        <f>HOUR(TIMEVALUE(RetailTransactions[[#This Row],[Time]]))</f>
        <v>16</v>
      </c>
    </row>
    <row r="95" spans="1:15">
      <c r="A95" t="s">
        <v>208</v>
      </c>
      <c r="B95" s="3">
        <v>46215</v>
      </c>
      <c r="C95" t="s">
        <v>209</v>
      </c>
      <c r="D95" t="s">
        <v>27</v>
      </c>
      <c r="E95" t="s">
        <v>17</v>
      </c>
      <c r="F95" t="s">
        <v>18</v>
      </c>
      <c r="G95">
        <v>2</v>
      </c>
      <c r="H95" s="4">
        <v>1.75</v>
      </c>
      <c r="I95" t="s">
        <v>19</v>
      </c>
      <c r="J95">
        <v>6</v>
      </c>
      <c r="K95">
        <v>0</v>
      </c>
      <c r="L95">
        <v>9</v>
      </c>
      <c r="M95" s="5">
        <v>3.9</v>
      </c>
      <c r="N95" s="4">
        <f t="shared" si="1"/>
        <v>3.5</v>
      </c>
      <c r="O95">
        <f>HOUR(TIMEVALUE(RetailTransactions[[#This Row],[Time]]))</f>
        <v>18</v>
      </c>
    </row>
    <row r="96" spans="1:15">
      <c r="A96" t="s">
        <v>210</v>
      </c>
      <c r="B96" s="3">
        <v>46207</v>
      </c>
      <c r="C96" t="s">
        <v>211</v>
      </c>
      <c r="D96" t="s">
        <v>66</v>
      </c>
      <c r="E96" t="s">
        <v>120</v>
      </c>
      <c r="F96" t="s">
        <v>50</v>
      </c>
      <c r="G96">
        <v>4</v>
      </c>
      <c r="H96" s="4">
        <v>2.25</v>
      </c>
      <c r="I96" t="s">
        <v>19</v>
      </c>
      <c r="J96">
        <v>54</v>
      </c>
      <c r="K96">
        <v>0</v>
      </c>
      <c r="L96">
        <v>5</v>
      </c>
      <c r="M96" s="5">
        <v>4.3</v>
      </c>
      <c r="N96" s="4">
        <f t="shared" si="1"/>
        <v>9</v>
      </c>
      <c r="O96">
        <f>HOUR(TIMEVALUE(RetailTransactions[[#This Row],[Time]]))</f>
        <v>14</v>
      </c>
    </row>
    <row r="97" spans="1:15">
      <c r="A97" t="s">
        <v>212</v>
      </c>
      <c r="B97" s="3">
        <v>46178</v>
      </c>
      <c r="C97" t="s">
        <v>213</v>
      </c>
      <c r="D97" t="s">
        <v>72</v>
      </c>
      <c r="E97" t="s">
        <v>60</v>
      </c>
      <c r="F97" t="s">
        <v>29</v>
      </c>
      <c r="G97">
        <v>2</v>
      </c>
      <c r="H97" s="4">
        <v>2.69</v>
      </c>
      <c r="I97" t="s">
        <v>19</v>
      </c>
      <c r="J97">
        <v>60</v>
      </c>
      <c r="K97">
        <v>0</v>
      </c>
      <c r="L97">
        <v>6</v>
      </c>
      <c r="M97" s="5">
        <v>1.7</v>
      </c>
      <c r="N97" s="4">
        <f t="shared" si="1"/>
        <v>5.38</v>
      </c>
      <c r="O97">
        <f>HOUR(TIMEVALUE(RetailTransactions[[#This Row],[Time]]))</f>
        <v>8</v>
      </c>
    </row>
    <row r="98" spans="1:15">
      <c r="A98" t="s">
        <v>214</v>
      </c>
      <c r="B98" s="3">
        <v>46237</v>
      </c>
      <c r="C98" t="s">
        <v>215</v>
      </c>
      <c r="D98" t="s">
        <v>33</v>
      </c>
      <c r="E98" t="s">
        <v>42</v>
      </c>
      <c r="F98" t="s">
        <v>43</v>
      </c>
      <c r="G98">
        <v>1</v>
      </c>
      <c r="H98" s="4">
        <v>1.39</v>
      </c>
      <c r="I98" t="s">
        <v>19</v>
      </c>
      <c r="J98">
        <v>42</v>
      </c>
      <c r="K98">
        <v>0</v>
      </c>
      <c r="L98">
        <v>7</v>
      </c>
      <c r="M98" s="5">
        <v>4.8</v>
      </c>
      <c r="N98" s="4">
        <f t="shared" si="1"/>
        <v>1.39</v>
      </c>
      <c r="O98">
        <f>HOUR(TIMEVALUE(RetailTransactions[[#This Row],[Time]]))</f>
        <v>12</v>
      </c>
    </row>
    <row r="99" spans="1:15">
      <c r="A99" t="s">
        <v>216</v>
      </c>
      <c r="B99" s="3">
        <v>46200</v>
      </c>
      <c r="C99" t="s">
        <v>124</v>
      </c>
      <c r="D99" t="s">
        <v>66</v>
      </c>
      <c r="E99" t="s">
        <v>125</v>
      </c>
      <c r="F99" t="s">
        <v>39</v>
      </c>
      <c r="G99">
        <v>1</v>
      </c>
      <c r="H99" s="4">
        <v>1.85</v>
      </c>
      <c r="I99" t="s">
        <v>19</v>
      </c>
      <c r="J99">
        <v>11</v>
      </c>
      <c r="K99">
        <v>0</v>
      </c>
      <c r="L99">
        <v>6</v>
      </c>
      <c r="M99" s="5">
        <v>4.2</v>
      </c>
      <c r="N99" s="4">
        <f t="shared" si="1"/>
        <v>1.85</v>
      </c>
      <c r="O99">
        <f>HOUR(TIMEVALUE(RetailTransactions[[#This Row],[Time]]))</f>
        <v>18</v>
      </c>
    </row>
    <row r="100" spans="1:15">
      <c r="A100" t="s">
        <v>217</v>
      </c>
      <c r="B100" s="3">
        <v>46256</v>
      </c>
      <c r="C100" t="s">
        <v>218</v>
      </c>
      <c r="D100" t="s">
        <v>66</v>
      </c>
      <c r="E100" t="s">
        <v>60</v>
      </c>
      <c r="F100" t="s">
        <v>29</v>
      </c>
      <c r="G100">
        <v>1</v>
      </c>
      <c r="H100" s="4">
        <v>2.69</v>
      </c>
      <c r="I100" t="s">
        <v>19</v>
      </c>
      <c r="J100">
        <v>8</v>
      </c>
      <c r="K100">
        <v>0</v>
      </c>
      <c r="L100">
        <v>6</v>
      </c>
      <c r="M100" s="5">
        <v>1.2</v>
      </c>
      <c r="N100" s="4">
        <f t="shared" si="1"/>
        <v>2.69</v>
      </c>
      <c r="O100">
        <f>HOUR(TIMEVALUE(RetailTransactions[[#This Row],[Time]]))</f>
        <v>21</v>
      </c>
    </row>
    <row r="101" spans="1:15">
      <c r="A101" t="s">
        <v>219</v>
      </c>
      <c r="B101" s="3">
        <v>46190</v>
      </c>
      <c r="C101" t="s">
        <v>128</v>
      </c>
      <c r="D101" t="s">
        <v>16</v>
      </c>
      <c r="E101" t="s">
        <v>115</v>
      </c>
      <c r="F101" t="s">
        <v>29</v>
      </c>
      <c r="G101">
        <v>1</v>
      </c>
      <c r="H101" s="4">
        <v>3.99</v>
      </c>
      <c r="I101" t="s">
        <v>19</v>
      </c>
      <c r="J101">
        <v>32</v>
      </c>
      <c r="K101">
        <v>0</v>
      </c>
      <c r="L101">
        <v>6</v>
      </c>
      <c r="M101" s="5">
        <v>2.9</v>
      </c>
      <c r="N101" s="4">
        <f t="shared" si="1"/>
        <v>3.99</v>
      </c>
      <c r="O101">
        <f>HOUR(TIMEVALUE(RetailTransactions[[#This Row],[Time]]))</f>
        <v>11</v>
      </c>
    </row>
    <row r="102" spans="1:15">
      <c r="A102" t="s">
        <v>220</v>
      </c>
      <c r="B102" s="3">
        <v>46212</v>
      </c>
      <c r="C102" t="s">
        <v>221</v>
      </c>
      <c r="D102" t="s">
        <v>37</v>
      </c>
      <c r="E102" t="s">
        <v>120</v>
      </c>
      <c r="F102" t="s">
        <v>50</v>
      </c>
      <c r="G102">
        <v>1</v>
      </c>
      <c r="H102" s="4">
        <v>2.25</v>
      </c>
      <c r="I102" t="s">
        <v>19</v>
      </c>
      <c r="J102">
        <v>12</v>
      </c>
      <c r="K102">
        <v>0</v>
      </c>
      <c r="L102">
        <v>7</v>
      </c>
      <c r="M102" s="5">
        <v>2.2999999999999998</v>
      </c>
      <c r="N102" s="4">
        <f t="shared" si="1"/>
        <v>2.25</v>
      </c>
      <c r="O102">
        <f>HOUR(TIMEVALUE(RetailTransactions[[#This Row],[Time]]))</f>
        <v>15</v>
      </c>
    </row>
    <row r="103" spans="1:15">
      <c r="A103" t="s">
        <v>222</v>
      </c>
      <c r="B103" s="3">
        <v>46176</v>
      </c>
      <c r="C103" t="s">
        <v>189</v>
      </c>
      <c r="D103" t="s">
        <v>16</v>
      </c>
      <c r="E103" t="s">
        <v>46</v>
      </c>
      <c r="F103" t="s">
        <v>24</v>
      </c>
      <c r="G103">
        <v>1</v>
      </c>
      <c r="H103" s="4">
        <v>1.79</v>
      </c>
      <c r="I103" t="s">
        <v>19</v>
      </c>
      <c r="J103">
        <v>25</v>
      </c>
      <c r="K103">
        <v>0</v>
      </c>
      <c r="L103">
        <v>7</v>
      </c>
      <c r="M103" s="5">
        <v>6.2</v>
      </c>
      <c r="N103" s="4">
        <f t="shared" si="1"/>
        <v>1.79</v>
      </c>
      <c r="O103">
        <f>HOUR(TIMEVALUE(RetailTransactions[[#This Row],[Time]]))</f>
        <v>17</v>
      </c>
    </row>
    <row r="104" spans="1:15">
      <c r="A104" t="s">
        <v>223</v>
      </c>
      <c r="B104" s="3">
        <v>46194</v>
      </c>
      <c r="C104" t="s">
        <v>224</v>
      </c>
      <c r="D104" t="s">
        <v>27</v>
      </c>
      <c r="E104" t="s">
        <v>120</v>
      </c>
      <c r="F104" t="s">
        <v>50</v>
      </c>
      <c r="G104">
        <v>1</v>
      </c>
      <c r="H104" s="4">
        <v>2.25</v>
      </c>
      <c r="I104" t="s">
        <v>19</v>
      </c>
      <c r="J104">
        <v>47</v>
      </c>
      <c r="K104">
        <v>0</v>
      </c>
      <c r="L104">
        <v>7</v>
      </c>
      <c r="M104" s="5">
        <v>4.4000000000000004</v>
      </c>
      <c r="N104" s="4">
        <f t="shared" si="1"/>
        <v>2.25</v>
      </c>
      <c r="O104">
        <f>HOUR(TIMEVALUE(RetailTransactions[[#This Row],[Time]]))</f>
        <v>19</v>
      </c>
    </row>
    <row r="105" spans="1:15">
      <c r="A105" t="s">
        <v>225</v>
      </c>
      <c r="B105" s="3">
        <v>46241</v>
      </c>
      <c r="C105" t="s">
        <v>168</v>
      </c>
      <c r="D105" t="s">
        <v>72</v>
      </c>
      <c r="E105" t="s">
        <v>85</v>
      </c>
      <c r="F105" t="s">
        <v>18</v>
      </c>
      <c r="G105">
        <v>2</v>
      </c>
      <c r="H105" s="4">
        <v>2.12</v>
      </c>
      <c r="I105" t="s">
        <v>30</v>
      </c>
      <c r="J105">
        <v>23</v>
      </c>
      <c r="K105">
        <v>0</v>
      </c>
      <c r="L105">
        <v>9</v>
      </c>
      <c r="M105" s="5">
        <v>4.5</v>
      </c>
      <c r="N105" s="4">
        <f t="shared" si="1"/>
        <v>4.24</v>
      </c>
      <c r="O105">
        <f>HOUR(TIMEVALUE(RetailTransactions[[#This Row],[Time]]))</f>
        <v>13</v>
      </c>
    </row>
    <row r="106" spans="1:15">
      <c r="A106" t="s">
        <v>226</v>
      </c>
      <c r="B106" s="3">
        <v>46216</v>
      </c>
      <c r="C106" t="s">
        <v>147</v>
      </c>
      <c r="D106" t="s">
        <v>33</v>
      </c>
      <c r="E106" t="s">
        <v>17</v>
      </c>
      <c r="F106" t="s">
        <v>18</v>
      </c>
      <c r="G106">
        <v>3</v>
      </c>
      <c r="H106" s="4">
        <v>1.75</v>
      </c>
      <c r="I106" t="s">
        <v>19</v>
      </c>
      <c r="J106">
        <v>24</v>
      </c>
      <c r="K106">
        <v>0</v>
      </c>
      <c r="L106">
        <v>5</v>
      </c>
      <c r="M106" s="5">
        <v>4.0999999999999996</v>
      </c>
      <c r="N106" s="4">
        <f t="shared" si="1"/>
        <v>5.25</v>
      </c>
      <c r="O106">
        <f>HOUR(TIMEVALUE(RetailTransactions[[#This Row],[Time]]))</f>
        <v>14</v>
      </c>
    </row>
    <row r="107" spans="1:15">
      <c r="A107" t="s">
        <v>227</v>
      </c>
      <c r="B107" s="3">
        <v>46236</v>
      </c>
      <c r="C107" t="s">
        <v>110</v>
      </c>
      <c r="D107" t="s">
        <v>27</v>
      </c>
      <c r="E107" t="s">
        <v>49</v>
      </c>
      <c r="F107" t="s">
        <v>50</v>
      </c>
      <c r="G107">
        <v>1</v>
      </c>
      <c r="H107" s="4">
        <v>3.36</v>
      </c>
      <c r="I107" t="s">
        <v>30</v>
      </c>
      <c r="J107">
        <v>31</v>
      </c>
      <c r="K107">
        <v>0</v>
      </c>
      <c r="L107">
        <v>9</v>
      </c>
      <c r="M107" s="5">
        <v>3.3</v>
      </c>
      <c r="N107" s="4">
        <f t="shared" si="1"/>
        <v>3.36</v>
      </c>
      <c r="O107">
        <f>HOUR(TIMEVALUE(RetailTransactions[[#This Row],[Time]]))</f>
        <v>17</v>
      </c>
    </row>
    <row r="108" spans="1:15">
      <c r="A108" t="s">
        <v>228</v>
      </c>
      <c r="B108" s="3">
        <v>46253</v>
      </c>
      <c r="C108" t="s">
        <v>168</v>
      </c>
      <c r="D108" t="s">
        <v>16</v>
      </c>
      <c r="E108" t="s">
        <v>120</v>
      </c>
      <c r="F108" t="s">
        <v>50</v>
      </c>
      <c r="G108">
        <v>2</v>
      </c>
      <c r="H108" s="4">
        <v>2.25</v>
      </c>
      <c r="I108" t="s">
        <v>19</v>
      </c>
      <c r="J108">
        <v>35</v>
      </c>
      <c r="K108">
        <v>0</v>
      </c>
      <c r="L108">
        <v>6</v>
      </c>
      <c r="M108" s="5">
        <v>4.5999999999999996</v>
      </c>
      <c r="N108" s="4">
        <f t="shared" si="1"/>
        <v>4.5</v>
      </c>
      <c r="O108">
        <f>HOUR(TIMEVALUE(RetailTransactions[[#This Row],[Time]]))</f>
        <v>13</v>
      </c>
    </row>
    <row r="109" spans="1:15">
      <c r="A109" t="s">
        <v>229</v>
      </c>
      <c r="B109" s="3">
        <v>46186</v>
      </c>
      <c r="C109" t="s">
        <v>230</v>
      </c>
      <c r="D109" t="s">
        <v>66</v>
      </c>
      <c r="E109" t="s">
        <v>28</v>
      </c>
      <c r="F109" t="s">
        <v>29</v>
      </c>
      <c r="G109">
        <v>2</v>
      </c>
      <c r="H109" s="4">
        <v>3.29</v>
      </c>
      <c r="I109" t="s">
        <v>19</v>
      </c>
      <c r="J109">
        <v>14</v>
      </c>
      <c r="K109">
        <v>0</v>
      </c>
      <c r="L109">
        <v>8</v>
      </c>
      <c r="M109" s="5">
        <v>4.7</v>
      </c>
      <c r="N109" s="4">
        <f t="shared" si="1"/>
        <v>6.58</v>
      </c>
      <c r="O109">
        <f>HOUR(TIMEVALUE(RetailTransactions[[#This Row],[Time]]))</f>
        <v>13</v>
      </c>
    </row>
    <row r="110" spans="1:15">
      <c r="A110" t="s">
        <v>231</v>
      </c>
      <c r="B110" s="3">
        <v>46216</v>
      </c>
      <c r="C110" t="s">
        <v>232</v>
      </c>
      <c r="D110" t="s">
        <v>33</v>
      </c>
      <c r="E110" t="s">
        <v>42</v>
      </c>
      <c r="F110" t="s">
        <v>43</v>
      </c>
      <c r="G110">
        <v>2</v>
      </c>
      <c r="H110" s="4">
        <v>1.39</v>
      </c>
      <c r="I110" t="s">
        <v>19</v>
      </c>
      <c r="J110">
        <v>53</v>
      </c>
      <c r="K110">
        <v>2</v>
      </c>
      <c r="L110">
        <v>8</v>
      </c>
      <c r="M110" s="5">
        <v>4.7</v>
      </c>
      <c r="N110" s="4">
        <f t="shared" si="1"/>
        <v>2.78</v>
      </c>
      <c r="O110">
        <f>HOUR(TIMEVALUE(RetailTransactions[[#This Row],[Time]]))</f>
        <v>19</v>
      </c>
    </row>
    <row r="111" spans="1:15">
      <c r="A111" t="s">
        <v>233</v>
      </c>
      <c r="B111" s="3">
        <v>46231</v>
      </c>
      <c r="C111" t="s">
        <v>84</v>
      </c>
      <c r="D111" t="s">
        <v>22</v>
      </c>
      <c r="E111" t="s">
        <v>49</v>
      </c>
      <c r="F111" t="s">
        <v>50</v>
      </c>
      <c r="G111">
        <v>2</v>
      </c>
      <c r="H111" s="4">
        <v>3.95</v>
      </c>
      <c r="I111" t="s">
        <v>19</v>
      </c>
      <c r="J111">
        <v>3</v>
      </c>
      <c r="K111">
        <v>0</v>
      </c>
      <c r="L111">
        <v>7</v>
      </c>
      <c r="M111" s="5">
        <v>2.2999999999999998</v>
      </c>
      <c r="N111" s="4">
        <f t="shared" si="1"/>
        <v>7.9</v>
      </c>
      <c r="O111">
        <f>HOUR(TIMEVALUE(RetailTransactions[[#This Row],[Time]]))</f>
        <v>14</v>
      </c>
    </row>
    <row r="112" spans="1:15">
      <c r="A112" t="s">
        <v>234</v>
      </c>
      <c r="B112" s="3">
        <v>46233</v>
      </c>
      <c r="C112" t="s">
        <v>161</v>
      </c>
      <c r="D112" t="s">
        <v>37</v>
      </c>
      <c r="E112" t="s">
        <v>106</v>
      </c>
      <c r="F112" t="s">
        <v>18</v>
      </c>
      <c r="G112">
        <v>3</v>
      </c>
      <c r="H112" s="4">
        <v>1.89</v>
      </c>
      <c r="I112" t="s">
        <v>19</v>
      </c>
      <c r="J112">
        <v>26</v>
      </c>
      <c r="K112">
        <v>0</v>
      </c>
      <c r="L112">
        <v>7</v>
      </c>
      <c r="M112" s="5">
        <v>5.2</v>
      </c>
      <c r="N112" s="4">
        <f t="shared" si="1"/>
        <v>5.67</v>
      </c>
      <c r="O112">
        <f>HOUR(TIMEVALUE(RetailTransactions[[#This Row],[Time]]))</f>
        <v>19</v>
      </c>
    </row>
    <row r="113" spans="1:15">
      <c r="A113" t="s">
        <v>235</v>
      </c>
      <c r="B113" s="3">
        <v>46235</v>
      </c>
      <c r="C113" t="s">
        <v>71</v>
      </c>
      <c r="D113" t="s">
        <v>66</v>
      </c>
      <c r="E113" t="s">
        <v>23</v>
      </c>
      <c r="F113" t="s">
        <v>24</v>
      </c>
      <c r="G113">
        <v>1</v>
      </c>
      <c r="H113" s="4">
        <v>0.95</v>
      </c>
      <c r="I113" t="s">
        <v>19</v>
      </c>
      <c r="J113">
        <v>26</v>
      </c>
      <c r="K113">
        <v>0</v>
      </c>
      <c r="L113">
        <v>6</v>
      </c>
      <c r="M113" s="5">
        <v>4.5999999999999996</v>
      </c>
      <c r="N113" s="4">
        <f t="shared" si="1"/>
        <v>0.95</v>
      </c>
      <c r="O113">
        <f>HOUR(TIMEVALUE(RetailTransactions[[#This Row],[Time]]))</f>
        <v>17</v>
      </c>
    </row>
    <row r="114" spans="1:15">
      <c r="A114" t="s">
        <v>236</v>
      </c>
      <c r="B114" s="3">
        <v>46192</v>
      </c>
      <c r="C114" t="s">
        <v>215</v>
      </c>
      <c r="D114" t="s">
        <v>72</v>
      </c>
      <c r="E114" t="s">
        <v>120</v>
      </c>
      <c r="F114" t="s">
        <v>50</v>
      </c>
      <c r="G114">
        <v>2</v>
      </c>
      <c r="H114" s="4">
        <v>1.91</v>
      </c>
      <c r="I114" t="s">
        <v>30</v>
      </c>
      <c r="J114">
        <v>38</v>
      </c>
      <c r="K114">
        <v>1</v>
      </c>
      <c r="L114">
        <v>6</v>
      </c>
      <c r="M114" s="5">
        <v>4.8</v>
      </c>
      <c r="N114" s="4">
        <f t="shared" si="1"/>
        <v>3.82</v>
      </c>
      <c r="O114">
        <f>HOUR(TIMEVALUE(RetailTransactions[[#This Row],[Time]]))</f>
        <v>12</v>
      </c>
    </row>
    <row r="115" spans="1:15">
      <c r="A115" t="s">
        <v>237</v>
      </c>
      <c r="B115" s="3">
        <v>46241</v>
      </c>
      <c r="C115" t="s">
        <v>238</v>
      </c>
      <c r="D115" t="s">
        <v>72</v>
      </c>
      <c r="E115" t="s">
        <v>115</v>
      </c>
      <c r="F115" t="s">
        <v>29</v>
      </c>
      <c r="G115">
        <v>1</v>
      </c>
      <c r="H115" s="4">
        <v>3.99</v>
      </c>
      <c r="I115" t="s">
        <v>19</v>
      </c>
      <c r="J115">
        <v>42</v>
      </c>
      <c r="K115">
        <v>0</v>
      </c>
      <c r="L115">
        <v>7</v>
      </c>
      <c r="M115" s="5">
        <v>2</v>
      </c>
      <c r="N115" s="4">
        <f t="shared" si="1"/>
        <v>3.99</v>
      </c>
      <c r="O115">
        <f>HOUR(TIMEVALUE(RetailTransactions[[#This Row],[Time]]))</f>
        <v>21</v>
      </c>
    </row>
    <row r="116" spans="1:15">
      <c r="A116" t="s">
        <v>239</v>
      </c>
      <c r="B116" s="3">
        <v>46251</v>
      </c>
      <c r="C116" t="s">
        <v>59</v>
      </c>
      <c r="D116" t="s">
        <v>33</v>
      </c>
      <c r="E116" t="s">
        <v>57</v>
      </c>
      <c r="F116" t="s">
        <v>43</v>
      </c>
      <c r="G116">
        <v>2</v>
      </c>
      <c r="H116" s="4">
        <v>1.69</v>
      </c>
      <c r="I116" t="s">
        <v>19</v>
      </c>
      <c r="J116">
        <v>36</v>
      </c>
      <c r="K116">
        <v>3</v>
      </c>
      <c r="L116">
        <v>6</v>
      </c>
      <c r="M116" s="5">
        <v>2.9</v>
      </c>
      <c r="N116" s="4">
        <f t="shared" si="1"/>
        <v>3.38</v>
      </c>
      <c r="O116">
        <f>HOUR(TIMEVALUE(RetailTransactions[[#This Row],[Time]]))</f>
        <v>12</v>
      </c>
    </row>
    <row r="117" spans="1:15">
      <c r="A117" t="s">
        <v>240</v>
      </c>
      <c r="B117" s="3">
        <v>46188</v>
      </c>
      <c r="C117" t="s">
        <v>241</v>
      </c>
      <c r="D117" t="s">
        <v>33</v>
      </c>
      <c r="E117" t="s">
        <v>69</v>
      </c>
      <c r="F117" t="s">
        <v>43</v>
      </c>
      <c r="G117">
        <v>1</v>
      </c>
      <c r="H117" s="4">
        <v>1.99</v>
      </c>
      <c r="I117" t="s">
        <v>19</v>
      </c>
      <c r="J117">
        <v>41</v>
      </c>
      <c r="K117">
        <v>0</v>
      </c>
      <c r="L117">
        <v>7</v>
      </c>
      <c r="M117" s="5">
        <v>2.7</v>
      </c>
      <c r="N117" s="4">
        <f t="shared" si="1"/>
        <v>1.99</v>
      </c>
      <c r="O117">
        <f>HOUR(TIMEVALUE(RetailTransactions[[#This Row],[Time]]))</f>
        <v>9</v>
      </c>
    </row>
    <row r="118" spans="1:15">
      <c r="A118" t="s">
        <v>242</v>
      </c>
      <c r="B118" s="3">
        <v>46177</v>
      </c>
      <c r="C118" t="s">
        <v>68</v>
      </c>
      <c r="D118" t="s">
        <v>37</v>
      </c>
      <c r="E118" t="s">
        <v>60</v>
      </c>
      <c r="F118" t="s">
        <v>29</v>
      </c>
      <c r="G118">
        <v>1</v>
      </c>
      <c r="H118" s="4">
        <v>2.29</v>
      </c>
      <c r="I118" t="s">
        <v>30</v>
      </c>
      <c r="J118">
        <v>21</v>
      </c>
      <c r="K118">
        <v>0</v>
      </c>
      <c r="L118">
        <v>5</v>
      </c>
      <c r="M118" s="5">
        <v>4</v>
      </c>
      <c r="N118" s="4">
        <f t="shared" si="1"/>
        <v>2.29</v>
      </c>
      <c r="O118">
        <f>HOUR(TIMEVALUE(RetailTransactions[[#This Row],[Time]]))</f>
        <v>16</v>
      </c>
    </row>
    <row r="119" spans="1:15">
      <c r="A119" t="s">
        <v>243</v>
      </c>
      <c r="B119" s="3">
        <v>46206</v>
      </c>
      <c r="C119" t="s">
        <v>244</v>
      </c>
      <c r="D119" t="s">
        <v>72</v>
      </c>
      <c r="E119" t="s">
        <v>69</v>
      </c>
      <c r="F119" t="s">
        <v>43</v>
      </c>
      <c r="G119">
        <v>4</v>
      </c>
      <c r="H119" s="4">
        <v>1.99</v>
      </c>
      <c r="I119" t="s">
        <v>19</v>
      </c>
      <c r="J119">
        <v>9</v>
      </c>
      <c r="K119">
        <v>0</v>
      </c>
      <c r="L119">
        <v>6</v>
      </c>
      <c r="M119" s="5">
        <v>2.2999999999999998</v>
      </c>
      <c r="N119" s="4">
        <f t="shared" si="1"/>
        <v>7.96</v>
      </c>
      <c r="O119">
        <f>HOUR(TIMEVALUE(RetailTransactions[[#This Row],[Time]]))</f>
        <v>14</v>
      </c>
    </row>
    <row r="120" spans="1:15">
      <c r="A120" t="s">
        <v>245</v>
      </c>
      <c r="B120" s="3">
        <v>46252</v>
      </c>
      <c r="C120" t="s">
        <v>170</v>
      </c>
      <c r="D120" t="s">
        <v>22</v>
      </c>
      <c r="E120" t="s">
        <v>125</v>
      </c>
      <c r="F120" t="s">
        <v>39</v>
      </c>
      <c r="G120">
        <v>3</v>
      </c>
      <c r="H120" s="4">
        <v>1.85</v>
      </c>
      <c r="I120" t="s">
        <v>19</v>
      </c>
      <c r="J120">
        <v>43</v>
      </c>
      <c r="K120">
        <v>0</v>
      </c>
      <c r="L120">
        <v>6</v>
      </c>
      <c r="M120" s="5">
        <v>3.5</v>
      </c>
      <c r="N120" s="4">
        <f t="shared" si="1"/>
        <v>5.5500000000000007</v>
      </c>
      <c r="O120">
        <f>HOUR(TIMEVALUE(RetailTransactions[[#This Row],[Time]]))</f>
        <v>13</v>
      </c>
    </row>
    <row r="121" spans="1:15">
      <c r="A121" t="s">
        <v>246</v>
      </c>
      <c r="B121" s="3">
        <v>46226</v>
      </c>
      <c r="C121" t="s">
        <v>247</v>
      </c>
      <c r="D121" t="s">
        <v>37</v>
      </c>
      <c r="E121" t="s">
        <v>120</v>
      </c>
      <c r="F121" t="s">
        <v>50</v>
      </c>
      <c r="G121">
        <v>1</v>
      </c>
      <c r="H121" s="4">
        <v>1.91</v>
      </c>
      <c r="I121" t="s">
        <v>30</v>
      </c>
      <c r="J121">
        <v>12</v>
      </c>
      <c r="K121">
        <v>0</v>
      </c>
      <c r="L121">
        <v>7</v>
      </c>
      <c r="M121" s="5">
        <v>5</v>
      </c>
      <c r="N121" s="4">
        <f t="shared" si="1"/>
        <v>1.91</v>
      </c>
      <c r="O121">
        <f>HOUR(TIMEVALUE(RetailTransactions[[#This Row],[Time]]))</f>
        <v>17</v>
      </c>
    </row>
    <row r="122" spans="1:15">
      <c r="A122" t="s">
        <v>248</v>
      </c>
      <c r="B122" s="3">
        <v>46248</v>
      </c>
      <c r="C122" t="s">
        <v>147</v>
      </c>
      <c r="D122" t="s">
        <v>72</v>
      </c>
      <c r="E122" t="s">
        <v>60</v>
      </c>
      <c r="F122" t="s">
        <v>29</v>
      </c>
      <c r="G122">
        <v>2</v>
      </c>
      <c r="H122" s="4">
        <v>2.69</v>
      </c>
      <c r="I122" t="s">
        <v>19</v>
      </c>
      <c r="J122">
        <v>17</v>
      </c>
      <c r="K122">
        <v>0</v>
      </c>
      <c r="L122">
        <v>7</v>
      </c>
      <c r="M122" s="5">
        <v>2.4</v>
      </c>
      <c r="N122" s="4">
        <f t="shared" si="1"/>
        <v>5.38</v>
      </c>
      <c r="O122">
        <f>HOUR(TIMEVALUE(RetailTransactions[[#This Row],[Time]]))</f>
        <v>14</v>
      </c>
    </row>
    <row r="123" spans="1:15">
      <c r="A123" t="s">
        <v>249</v>
      </c>
      <c r="B123" s="3">
        <v>46208</v>
      </c>
      <c r="C123" t="s">
        <v>91</v>
      </c>
      <c r="D123" t="s">
        <v>27</v>
      </c>
      <c r="E123" t="s">
        <v>125</v>
      </c>
      <c r="F123" t="s">
        <v>39</v>
      </c>
      <c r="G123">
        <v>1</v>
      </c>
      <c r="H123" s="4">
        <v>1.57</v>
      </c>
      <c r="I123" t="s">
        <v>30</v>
      </c>
      <c r="J123">
        <v>6</v>
      </c>
      <c r="K123">
        <v>0</v>
      </c>
      <c r="L123">
        <v>6</v>
      </c>
      <c r="M123" s="5">
        <v>4.4000000000000004</v>
      </c>
      <c r="N123" s="4">
        <f t="shared" si="1"/>
        <v>1.57</v>
      </c>
      <c r="O123">
        <f>HOUR(TIMEVALUE(RetailTransactions[[#This Row],[Time]]))</f>
        <v>12</v>
      </c>
    </row>
    <row r="124" spans="1:15">
      <c r="A124" t="s">
        <v>250</v>
      </c>
      <c r="B124" s="3">
        <v>46210</v>
      </c>
      <c r="C124" t="s">
        <v>150</v>
      </c>
      <c r="D124" t="s">
        <v>22</v>
      </c>
      <c r="E124" t="s">
        <v>23</v>
      </c>
      <c r="F124" t="s">
        <v>24</v>
      </c>
      <c r="G124">
        <v>1</v>
      </c>
      <c r="H124" s="4">
        <v>0.95</v>
      </c>
      <c r="I124" t="s">
        <v>19</v>
      </c>
      <c r="J124">
        <v>51</v>
      </c>
      <c r="K124">
        <v>3</v>
      </c>
      <c r="L124">
        <v>6</v>
      </c>
      <c r="M124" s="5">
        <v>1.9</v>
      </c>
      <c r="N124" s="4">
        <f t="shared" si="1"/>
        <v>0.95</v>
      </c>
      <c r="O124">
        <f>HOUR(TIMEVALUE(RetailTransactions[[#This Row],[Time]]))</f>
        <v>14</v>
      </c>
    </row>
    <row r="125" spans="1:15">
      <c r="A125" t="s">
        <v>251</v>
      </c>
      <c r="B125" s="3">
        <v>46192</v>
      </c>
      <c r="C125" t="s">
        <v>186</v>
      </c>
      <c r="D125" t="s">
        <v>72</v>
      </c>
      <c r="E125" t="s">
        <v>125</v>
      </c>
      <c r="F125" t="s">
        <v>39</v>
      </c>
      <c r="G125">
        <v>2</v>
      </c>
      <c r="H125" s="4">
        <v>1.85</v>
      </c>
      <c r="I125" t="s">
        <v>19</v>
      </c>
      <c r="J125">
        <v>23</v>
      </c>
      <c r="K125">
        <v>0</v>
      </c>
      <c r="L125">
        <v>7</v>
      </c>
      <c r="M125" s="5">
        <v>3.9</v>
      </c>
      <c r="N125" s="4">
        <f t="shared" si="1"/>
        <v>3.7</v>
      </c>
      <c r="O125">
        <f>HOUR(TIMEVALUE(RetailTransactions[[#This Row],[Time]]))</f>
        <v>18</v>
      </c>
    </row>
    <row r="126" spans="1:15">
      <c r="A126" t="s">
        <v>252</v>
      </c>
      <c r="B126" s="3">
        <v>46179</v>
      </c>
      <c r="C126" t="s">
        <v>93</v>
      </c>
      <c r="D126" t="s">
        <v>66</v>
      </c>
      <c r="E126" t="s">
        <v>49</v>
      </c>
      <c r="F126" t="s">
        <v>50</v>
      </c>
      <c r="G126">
        <v>3</v>
      </c>
      <c r="H126" s="4">
        <v>3.95</v>
      </c>
      <c r="I126" t="s">
        <v>19</v>
      </c>
      <c r="J126">
        <v>44</v>
      </c>
      <c r="K126">
        <v>0</v>
      </c>
      <c r="L126">
        <v>9</v>
      </c>
      <c r="M126" s="5">
        <v>4.5</v>
      </c>
      <c r="N126" s="4">
        <f t="shared" si="1"/>
        <v>11.850000000000001</v>
      </c>
      <c r="O126">
        <f>HOUR(TIMEVALUE(RetailTransactions[[#This Row],[Time]]))</f>
        <v>12</v>
      </c>
    </row>
    <row r="127" spans="1:15">
      <c r="A127" t="s">
        <v>253</v>
      </c>
      <c r="B127" s="3">
        <v>46243</v>
      </c>
      <c r="C127" t="s">
        <v>254</v>
      </c>
      <c r="D127" t="s">
        <v>27</v>
      </c>
      <c r="E127" t="s">
        <v>115</v>
      </c>
      <c r="F127" t="s">
        <v>29</v>
      </c>
      <c r="G127">
        <v>1</v>
      </c>
      <c r="H127" s="4">
        <v>3.99</v>
      </c>
      <c r="I127" t="s">
        <v>19</v>
      </c>
      <c r="J127">
        <v>58</v>
      </c>
      <c r="K127">
        <v>0</v>
      </c>
      <c r="L127">
        <v>4</v>
      </c>
      <c r="M127" s="5">
        <v>3.6</v>
      </c>
      <c r="N127" s="4">
        <f t="shared" si="1"/>
        <v>3.99</v>
      </c>
      <c r="O127">
        <f>HOUR(TIMEVALUE(RetailTransactions[[#This Row],[Time]]))</f>
        <v>10</v>
      </c>
    </row>
    <row r="128" spans="1:15">
      <c r="A128" t="s">
        <v>255</v>
      </c>
      <c r="B128" s="3">
        <v>46229</v>
      </c>
      <c r="C128" t="s">
        <v>256</v>
      </c>
      <c r="D128" t="s">
        <v>27</v>
      </c>
      <c r="E128" t="s">
        <v>125</v>
      </c>
      <c r="F128" t="s">
        <v>39</v>
      </c>
      <c r="G128">
        <v>1</v>
      </c>
      <c r="H128" s="4">
        <v>1.57</v>
      </c>
      <c r="I128" t="s">
        <v>30</v>
      </c>
      <c r="J128">
        <v>15</v>
      </c>
      <c r="K128">
        <v>0</v>
      </c>
      <c r="L128">
        <v>6</v>
      </c>
      <c r="M128" s="5">
        <v>1.1000000000000001</v>
      </c>
      <c r="N128" s="4">
        <f t="shared" si="1"/>
        <v>1.57</v>
      </c>
      <c r="O128">
        <f>HOUR(TIMEVALUE(RetailTransactions[[#This Row],[Time]]))</f>
        <v>8</v>
      </c>
    </row>
    <row r="129" spans="1:15">
      <c r="A129" t="s">
        <v>257</v>
      </c>
      <c r="B129" s="3">
        <v>46216</v>
      </c>
      <c r="C129" t="s">
        <v>258</v>
      </c>
      <c r="D129" t="s">
        <v>33</v>
      </c>
      <c r="E129" t="s">
        <v>49</v>
      </c>
      <c r="F129" t="s">
        <v>50</v>
      </c>
      <c r="G129">
        <v>1</v>
      </c>
      <c r="H129" s="4">
        <v>3.95</v>
      </c>
      <c r="I129" t="s">
        <v>19</v>
      </c>
      <c r="J129">
        <v>27</v>
      </c>
      <c r="K129">
        <v>0</v>
      </c>
      <c r="L129">
        <v>5</v>
      </c>
      <c r="M129" s="5">
        <v>4.2</v>
      </c>
      <c r="N129" s="4">
        <f t="shared" si="1"/>
        <v>3.95</v>
      </c>
      <c r="O129">
        <f>HOUR(TIMEVALUE(RetailTransactions[[#This Row],[Time]]))</f>
        <v>16</v>
      </c>
    </row>
    <row r="130" spans="1:15">
      <c r="A130" t="s">
        <v>259</v>
      </c>
      <c r="B130" s="3">
        <v>46192</v>
      </c>
      <c r="C130" t="s">
        <v>26</v>
      </c>
      <c r="D130" t="s">
        <v>72</v>
      </c>
      <c r="E130" t="s">
        <v>46</v>
      </c>
      <c r="F130" t="s">
        <v>24</v>
      </c>
      <c r="G130">
        <v>2</v>
      </c>
      <c r="H130" s="4">
        <v>1.52</v>
      </c>
      <c r="I130" t="s">
        <v>30</v>
      </c>
      <c r="J130">
        <v>19</v>
      </c>
      <c r="K130">
        <v>0</v>
      </c>
      <c r="L130">
        <v>9</v>
      </c>
      <c r="M130" s="5">
        <v>4.5999999999999996</v>
      </c>
      <c r="N130" s="4">
        <f t="shared" ref="N130:N193" si="2">G130*H130</f>
        <v>3.04</v>
      </c>
      <c r="O130">
        <f>HOUR(TIMEVALUE(RetailTransactions[[#This Row],[Time]]))</f>
        <v>13</v>
      </c>
    </row>
    <row r="131" spans="1:15">
      <c r="A131" t="s">
        <v>260</v>
      </c>
      <c r="B131" s="3">
        <v>46188</v>
      </c>
      <c r="C131" t="s">
        <v>232</v>
      </c>
      <c r="D131" t="s">
        <v>33</v>
      </c>
      <c r="E131" t="s">
        <v>23</v>
      </c>
      <c r="F131" t="s">
        <v>24</v>
      </c>
      <c r="G131">
        <v>2</v>
      </c>
      <c r="H131" s="4">
        <v>0.81</v>
      </c>
      <c r="I131" t="s">
        <v>30</v>
      </c>
      <c r="J131">
        <v>27</v>
      </c>
      <c r="K131">
        <v>0</v>
      </c>
      <c r="L131">
        <v>9</v>
      </c>
      <c r="M131" s="5">
        <v>5.4</v>
      </c>
      <c r="N131" s="4">
        <f t="shared" si="2"/>
        <v>1.62</v>
      </c>
      <c r="O131">
        <f>HOUR(TIMEVALUE(RetailTransactions[[#This Row],[Time]]))</f>
        <v>19</v>
      </c>
    </row>
    <row r="132" spans="1:15">
      <c r="A132" t="s">
        <v>261</v>
      </c>
      <c r="B132" s="3">
        <v>46247</v>
      </c>
      <c r="C132" t="s">
        <v>215</v>
      </c>
      <c r="D132" t="s">
        <v>37</v>
      </c>
      <c r="E132" t="s">
        <v>42</v>
      </c>
      <c r="F132" t="s">
        <v>43</v>
      </c>
      <c r="G132">
        <v>3</v>
      </c>
      <c r="H132" s="4">
        <v>1.39</v>
      </c>
      <c r="I132" t="s">
        <v>19</v>
      </c>
      <c r="J132">
        <v>25</v>
      </c>
      <c r="K132">
        <v>0</v>
      </c>
      <c r="L132">
        <v>6</v>
      </c>
      <c r="M132" s="5">
        <v>3.8</v>
      </c>
      <c r="N132" s="4">
        <f t="shared" si="2"/>
        <v>4.17</v>
      </c>
      <c r="O132">
        <f>HOUR(TIMEVALUE(RetailTransactions[[#This Row],[Time]]))</f>
        <v>12</v>
      </c>
    </row>
    <row r="133" spans="1:15">
      <c r="A133" t="s">
        <v>262</v>
      </c>
      <c r="B133" s="3">
        <v>46192</v>
      </c>
      <c r="C133" t="s">
        <v>91</v>
      </c>
      <c r="D133" t="s">
        <v>72</v>
      </c>
      <c r="E133" t="s">
        <v>17</v>
      </c>
      <c r="F133" t="s">
        <v>18</v>
      </c>
      <c r="G133">
        <v>1</v>
      </c>
      <c r="H133" s="4">
        <v>1.49</v>
      </c>
      <c r="I133" t="s">
        <v>30</v>
      </c>
      <c r="J133">
        <v>36</v>
      </c>
      <c r="K133">
        <v>0</v>
      </c>
      <c r="L133">
        <v>7</v>
      </c>
      <c r="M133" s="5">
        <v>4.4000000000000004</v>
      </c>
      <c r="N133" s="4">
        <f t="shared" si="2"/>
        <v>1.49</v>
      </c>
      <c r="O133">
        <f>HOUR(TIMEVALUE(RetailTransactions[[#This Row],[Time]]))</f>
        <v>12</v>
      </c>
    </row>
    <row r="134" spans="1:15">
      <c r="A134" t="s">
        <v>263</v>
      </c>
      <c r="B134" s="3">
        <v>46262</v>
      </c>
      <c r="C134" t="s">
        <v>71</v>
      </c>
      <c r="D134" t="s">
        <v>72</v>
      </c>
      <c r="E134" t="s">
        <v>125</v>
      </c>
      <c r="F134" t="s">
        <v>39</v>
      </c>
      <c r="G134">
        <v>3</v>
      </c>
      <c r="H134" s="4">
        <v>1.85</v>
      </c>
      <c r="I134" t="s">
        <v>19</v>
      </c>
      <c r="J134">
        <v>60</v>
      </c>
      <c r="K134">
        <v>0</v>
      </c>
      <c r="L134">
        <v>8</v>
      </c>
      <c r="M134" s="5">
        <v>4.0999999999999996</v>
      </c>
      <c r="N134" s="4">
        <f t="shared" si="2"/>
        <v>5.5500000000000007</v>
      </c>
      <c r="O134">
        <f>HOUR(TIMEVALUE(RetailTransactions[[#This Row],[Time]]))</f>
        <v>17</v>
      </c>
    </row>
    <row r="135" spans="1:15">
      <c r="A135" t="s">
        <v>264</v>
      </c>
      <c r="B135" s="3">
        <v>46242</v>
      </c>
      <c r="C135" t="s">
        <v>265</v>
      </c>
      <c r="D135" t="s">
        <v>66</v>
      </c>
      <c r="E135" t="s">
        <v>106</v>
      </c>
      <c r="F135" t="s">
        <v>18</v>
      </c>
      <c r="G135">
        <v>1</v>
      </c>
      <c r="H135" s="4">
        <v>1.89</v>
      </c>
      <c r="I135" t="s">
        <v>19</v>
      </c>
      <c r="J135">
        <v>10</v>
      </c>
      <c r="K135">
        <v>0</v>
      </c>
      <c r="L135">
        <v>4</v>
      </c>
      <c r="M135" s="5">
        <v>4.0999999999999996</v>
      </c>
      <c r="N135" s="4">
        <f t="shared" si="2"/>
        <v>1.89</v>
      </c>
      <c r="O135">
        <f>HOUR(TIMEVALUE(RetailTransactions[[#This Row],[Time]]))</f>
        <v>20</v>
      </c>
    </row>
    <row r="136" spans="1:15">
      <c r="A136" t="s">
        <v>266</v>
      </c>
      <c r="B136" s="3">
        <v>46240</v>
      </c>
      <c r="C136" t="s">
        <v>267</v>
      </c>
      <c r="D136" t="s">
        <v>37</v>
      </c>
      <c r="E136" t="s">
        <v>46</v>
      </c>
      <c r="F136" t="s">
        <v>24</v>
      </c>
      <c r="G136">
        <v>2</v>
      </c>
      <c r="H136" s="4">
        <v>1.79</v>
      </c>
      <c r="I136" t="s">
        <v>19</v>
      </c>
      <c r="J136">
        <v>23</v>
      </c>
      <c r="K136">
        <v>0</v>
      </c>
      <c r="L136">
        <v>9</v>
      </c>
      <c r="M136" s="5">
        <v>6.2</v>
      </c>
      <c r="N136" s="4">
        <f t="shared" si="2"/>
        <v>3.58</v>
      </c>
      <c r="O136">
        <f>HOUR(TIMEVALUE(RetailTransactions[[#This Row],[Time]]))</f>
        <v>13</v>
      </c>
    </row>
    <row r="137" spans="1:15">
      <c r="A137" t="s">
        <v>268</v>
      </c>
      <c r="B137" s="3">
        <v>46258</v>
      </c>
      <c r="C137" t="s">
        <v>269</v>
      </c>
      <c r="D137" t="s">
        <v>33</v>
      </c>
      <c r="E137" t="s">
        <v>125</v>
      </c>
      <c r="F137" t="s">
        <v>39</v>
      </c>
      <c r="G137">
        <v>1</v>
      </c>
      <c r="H137" s="4">
        <v>1.85</v>
      </c>
      <c r="I137" t="s">
        <v>19</v>
      </c>
      <c r="J137">
        <v>48</v>
      </c>
      <c r="K137">
        <v>0</v>
      </c>
      <c r="L137">
        <v>9</v>
      </c>
      <c r="M137" s="5">
        <v>5.2</v>
      </c>
      <c r="N137" s="4">
        <f t="shared" si="2"/>
        <v>1.85</v>
      </c>
      <c r="O137">
        <f>HOUR(TIMEVALUE(RetailTransactions[[#This Row],[Time]]))</f>
        <v>17</v>
      </c>
    </row>
    <row r="138" spans="1:15">
      <c r="A138" t="s">
        <v>270</v>
      </c>
      <c r="B138" s="3">
        <v>46176</v>
      </c>
      <c r="C138" t="s">
        <v>207</v>
      </c>
      <c r="D138" t="s">
        <v>16</v>
      </c>
      <c r="E138" t="s">
        <v>120</v>
      </c>
      <c r="F138" t="s">
        <v>50</v>
      </c>
      <c r="G138">
        <v>2</v>
      </c>
      <c r="H138" s="4">
        <v>1.91</v>
      </c>
      <c r="I138" t="s">
        <v>30</v>
      </c>
      <c r="J138">
        <v>11</v>
      </c>
      <c r="K138">
        <v>0</v>
      </c>
      <c r="L138">
        <v>4</v>
      </c>
      <c r="M138" s="5">
        <v>2.8</v>
      </c>
      <c r="N138" s="4">
        <f t="shared" si="2"/>
        <v>3.82</v>
      </c>
      <c r="O138">
        <f>HOUR(TIMEVALUE(RetailTransactions[[#This Row],[Time]]))</f>
        <v>16</v>
      </c>
    </row>
    <row r="139" spans="1:15">
      <c r="A139" t="s">
        <v>271</v>
      </c>
      <c r="B139" s="3">
        <v>46240</v>
      </c>
      <c r="C139" t="s">
        <v>272</v>
      </c>
      <c r="D139" t="s">
        <v>37</v>
      </c>
      <c r="E139" t="s">
        <v>28</v>
      </c>
      <c r="F139" t="s">
        <v>29</v>
      </c>
      <c r="G139">
        <v>1</v>
      </c>
      <c r="H139" s="4">
        <v>3.29</v>
      </c>
      <c r="I139" t="s">
        <v>19</v>
      </c>
      <c r="J139">
        <v>45</v>
      </c>
      <c r="K139">
        <v>0</v>
      </c>
      <c r="L139">
        <v>9</v>
      </c>
      <c r="M139" s="5">
        <v>6.1</v>
      </c>
      <c r="N139" s="4">
        <f t="shared" si="2"/>
        <v>3.29</v>
      </c>
      <c r="O139">
        <f>HOUR(TIMEVALUE(RetailTransactions[[#This Row],[Time]]))</f>
        <v>18</v>
      </c>
    </row>
    <row r="140" spans="1:15">
      <c r="A140" t="s">
        <v>273</v>
      </c>
      <c r="B140" s="3">
        <v>46233</v>
      </c>
      <c r="C140" t="s">
        <v>56</v>
      </c>
      <c r="D140" t="s">
        <v>37</v>
      </c>
      <c r="E140" t="s">
        <v>106</v>
      </c>
      <c r="F140" t="s">
        <v>18</v>
      </c>
      <c r="G140">
        <v>3</v>
      </c>
      <c r="H140" s="4">
        <v>1.89</v>
      </c>
      <c r="I140" t="s">
        <v>19</v>
      </c>
      <c r="J140">
        <v>55</v>
      </c>
      <c r="K140">
        <v>0</v>
      </c>
      <c r="L140">
        <v>7</v>
      </c>
      <c r="M140" s="5">
        <v>4.4000000000000004</v>
      </c>
      <c r="N140" s="4">
        <f t="shared" si="2"/>
        <v>5.67</v>
      </c>
      <c r="O140">
        <f>HOUR(TIMEVALUE(RetailTransactions[[#This Row],[Time]]))</f>
        <v>17</v>
      </c>
    </row>
    <row r="141" spans="1:15">
      <c r="A141" t="s">
        <v>274</v>
      </c>
      <c r="B141" s="3">
        <v>46242</v>
      </c>
      <c r="C141" t="s">
        <v>275</v>
      </c>
      <c r="D141" t="s">
        <v>66</v>
      </c>
      <c r="E141" t="s">
        <v>34</v>
      </c>
      <c r="F141" t="s">
        <v>24</v>
      </c>
      <c r="G141">
        <v>1</v>
      </c>
      <c r="H141" s="4">
        <v>1.49</v>
      </c>
      <c r="I141" t="s">
        <v>19</v>
      </c>
      <c r="J141">
        <v>43</v>
      </c>
      <c r="K141">
        <v>0</v>
      </c>
      <c r="L141">
        <v>4</v>
      </c>
      <c r="M141" s="5">
        <v>4.5999999999999996</v>
      </c>
      <c r="N141" s="4">
        <f t="shared" si="2"/>
        <v>1.49</v>
      </c>
      <c r="O141">
        <f>HOUR(TIMEVALUE(RetailTransactions[[#This Row],[Time]]))</f>
        <v>14</v>
      </c>
    </row>
    <row r="142" spans="1:15">
      <c r="A142" t="s">
        <v>276</v>
      </c>
      <c r="B142" s="3">
        <v>46183</v>
      </c>
      <c r="C142" t="s">
        <v>277</v>
      </c>
      <c r="D142" t="s">
        <v>16</v>
      </c>
      <c r="E142" t="s">
        <v>57</v>
      </c>
      <c r="F142" t="s">
        <v>43</v>
      </c>
      <c r="G142">
        <v>1</v>
      </c>
      <c r="H142" s="4">
        <v>1.44</v>
      </c>
      <c r="I142" t="s">
        <v>30</v>
      </c>
      <c r="J142">
        <v>58</v>
      </c>
      <c r="K142">
        <v>0</v>
      </c>
      <c r="L142">
        <v>6</v>
      </c>
      <c r="M142" s="5">
        <v>2.6</v>
      </c>
      <c r="N142" s="4">
        <f t="shared" si="2"/>
        <v>1.44</v>
      </c>
      <c r="O142">
        <f>HOUR(TIMEVALUE(RetailTransactions[[#This Row],[Time]]))</f>
        <v>9</v>
      </c>
    </row>
    <row r="143" spans="1:15">
      <c r="A143" t="s">
        <v>278</v>
      </c>
      <c r="B143" s="3">
        <v>46191</v>
      </c>
      <c r="C143" t="s">
        <v>204</v>
      </c>
      <c r="D143" t="s">
        <v>37</v>
      </c>
      <c r="E143" t="s">
        <v>120</v>
      </c>
      <c r="F143" t="s">
        <v>50</v>
      </c>
      <c r="G143">
        <v>3</v>
      </c>
      <c r="H143" s="4">
        <v>2.25</v>
      </c>
      <c r="I143" t="s">
        <v>19</v>
      </c>
      <c r="J143">
        <v>19</v>
      </c>
      <c r="K143">
        <v>0</v>
      </c>
      <c r="L143">
        <v>4</v>
      </c>
      <c r="M143" s="5">
        <v>3.7</v>
      </c>
      <c r="N143" s="4">
        <f t="shared" si="2"/>
        <v>6.75</v>
      </c>
      <c r="O143">
        <f>HOUR(TIMEVALUE(RetailTransactions[[#This Row],[Time]]))</f>
        <v>14</v>
      </c>
    </row>
    <row r="144" spans="1:15">
      <c r="A144" t="s">
        <v>279</v>
      </c>
      <c r="B144" s="3">
        <v>46250</v>
      </c>
      <c r="C144" t="s">
        <v>163</v>
      </c>
      <c r="D144" t="s">
        <v>27</v>
      </c>
      <c r="E144" t="s">
        <v>34</v>
      </c>
      <c r="F144" t="s">
        <v>24</v>
      </c>
      <c r="G144">
        <v>3</v>
      </c>
      <c r="H144" s="4">
        <v>1.49</v>
      </c>
      <c r="I144" t="s">
        <v>19</v>
      </c>
      <c r="J144">
        <v>47</v>
      </c>
      <c r="K144">
        <v>0</v>
      </c>
      <c r="L144">
        <v>8</v>
      </c>
      <c r="M144" s="5">
        <v>5.7</v>
      </c>
      <c r="N144" s="4">
        <f t="shared" si="2"/>
        <v>4.47</v>
      </c>
      <c r="O144">
        <f>HOUR(TIMEVALUE(RetailTransactions[[#This Row],[Time]]))</f>
        <v>17</v>
      </c>
    </row>
    <row r="145" spans="1:15">
      <c r="A145" t="s">
        <v>280</v>
      </c>
      <c r="B145" s="3">
        <v>46206</v>
      </c>
      <c r="C145" t="s">
        <v>154</v>
      </c>
      <c r="D145" t="s">
        <v>72</v>
      </c>
      <c r="E145" t="s">
        <v>125</v>
      </c>
      <c r="F145" t="s">
        <v>39</v>
      </c>
      <c r="G145">
        <v>1</v>
      </c>
      <c r="H145" s="4">
        <v>1.85</v>
      </c>
      <c r="I145" t="s">
        <v>19</v>
      </c>
      <c r="J145">
        <v>14</v>
      </c>
      <c r="K145">
        <v>0</v>
      </c>
      <c r="L145">
        <v>4</v>
      </c>
      <c r="M145" s="5">
        <v>3.5</v>
      </c>
      <c r="N145" s="4">
        <f t="shared" si="2"/>
        <v>1.85</v>
      </c>
      <c r="O145">
        <f>HOUR(TIMEVALUE(RetailTransactions[[#This Row],[Time]]))</f>
        <v>16</v>
      </c>
    </row>
    <row r="146" spans="1:15">
      <c r="A146" t="s">
        <v>281</v>
      </c>
      <c r="B146" s="3">
        <v>46214</v>
      </c>
      <c r="C146" t="s">
        <v>189</v>
      </c>
      <c r="D146" t="s">
        <v>66</v>
      </c>
      <c r="E146" t="s">
        <v>63</v>
      </c>
      <c r="F146" t="s">
        <v>50</v>
      </c>
      <c r="G146">
        <v>1</v>
      </c>
      <c r="H146" s="4">
        <v>3.49</v>
      </c>
      <c r="I146" t="s">
        <v>19</v>
      </c>
      <c r="J146">
        <v>39</v>
      </c>
      <c r="K146">
        <v>0</v>
      </c>
      <c r="L146">
        <v>7</v>
      </c>
      <c r="M146" s="5">
        <v>4.4000000000000004</v>
      </c>
      <c r="N146" s="4">
        <f t="shared" si="2"/>
        <v>3.49</v>
      </c>
      <c r="O146">
        <f>HOUR(TIMEVALUE(RetailTransactions[[#This Row],[Time]]))</f>
        <v>17</v>
      </c>
    </row>
    <row r="147" spans="1:15">
      <c r="A147" t="s">
        <v>282</v>
      </c>
      <c r="B147" s="3">
        <v>46243</v>
      </c>
      <c r="C147" t="s">
        <v>77</v>
      </c>
      <c r="D147" t="s">
        <v>27</v>
      </c>
      <c r="E147" t="s">
        <v>120</v>
      </c>
      <c r="F147" t="s">
        <v>50</v>
      </c>
      <c r="G147">
        <v>2</v>
      </c>
      <c r="H147" s="4">
        <v>1.91</v>
      </c>
      <c r="I147" t="s">
        <v>30</v>
      </c>
      <c r="J147">
        <v>37</v>
      </c>
      <c r="K147">
        <v>0</v>
      </c>
      <c r="L147">
        <v>7</v>
      </c>
      <c r="M147" s="5">
        <v>5.0999999999999996</v>
      </c>
      <c r="N147" s="4">
        <f t="shared" si="2"/>
        <v>3.82</v>
      </c>
      <c r="O147">
        <f>HOUR(TIMEVALUE(RetailTransactions[[#This Row],[Time]]))</f>
        <v>12</v>
      </c>
    </row>
    <row r="148" spans="1:15">
      <c r="A148" t="s">
        <v>283</v>
      </c>
      <c r="B148" s="3">
        <v>46175</v>
      </c>
      <c r="C148" t="s">
        <v>95</v>
      </c>
      <c r="D148" t="s">
        <v>22</v>
      </c>
      <c r="E148" t="s">
        <v>115</v>
      </c>
      <c r="F148" t="s">
        <v>29</v>
      </c>
      <c r="G148">
        <v>1</v>
      </c>
      <c r="H148" s="4">
        <v>3.99</v>
      </c>
      <c r="I148" t="s">
        <v>19</v>
      </c>
      <c r="J148">
        <v>11</v>
      </c>
      <c r="K148">
        <v>0</v>
      </c>
      <c r="L148">
        <v>7</v>
      </c>
      <c r="M148" s="5">
        <v>2.2999999999999998</v>
      </c>
      <c r="N148" s="4">
        <f t="shared" si="2"/>
        <v>3.99</v>
      </c>
      <c r="O148">
        <f>HOUR(TIMEVALUE(RetailTransactions[[#This Row],[Time]]))</f>
        <v>16</v>
      </c>
    </row>
    <row r="149" spans="1:15">
      <c r="A149" t="s">
        <v>284</v>
      </c>
      <c r="B149" s="3">
        <v>46243</v>
      </c>
      <c r="C149" t="s">
        <v>89</v>
      </c>
      <c r="D149" t="s">
        <v>27</v>
      </c>
      <c r="E149" t="s">
        <v>28</v>
      </c>
      <c r="F149" t="s">
        <v>29</v>
      </c>
      <c r="G149">
        <v>1</v>
      </c>
      <c r="H149" s="4">
        <v>3.29</v>
      </c>
      <c r="I149" t="s">
        <v>19</v>
      </c>
      <c r="J149">
        <v>36</v>
      </c>
      <c r="K149">
        <v>0</v>
      </c>
      <c r="L149">
        <v>6</v>
      </c>
      <c r="M149" s="5">
        <v>2.2999999999999998</v>
      </c>
      <c r="N149" s="4">
        <f t="shared" si="2"/>
        <v>3.29</v>
      </c>
      <c r="O149">
        <f>HOUR(TIMEVALUE(RetailTransactions[[#This Row],[Time]]))</f>
        <v>14</v>
      </c>
    </row>
    <row r="150" spans="1:15">
      <c r="A150" t="s">
        <v>285</v>
      </c>
      <c r="B150" s="3">
        <v>46241</v>
      </c>
      <c r="C150" t="s">
        <v>170</v>
      </c>
      <c r="D150" t="s">
        <v>72</v>
      </c>
      <c r="E150" t="s">
        <v>42</v>
      </c>
      <c r="F150" t="s">
        <v>43</v>
      </c>
      <c r="G150">
        <v>2</v>
      </c>
      <c r="H150" s="4">
        <v>1.18</v>
      </c>
      <c r="I150" t="s">
        <v>30</v>
      </c>
      <c r="J150">
        <v>23</v>
      </c>
      <c r="K150">
        <v>0</v>
      </c>
      <c r="L150">
        <v>6</v>
      </c>
      <c r="M150" s="5">
        <v>3.9</v>
      </c>
      <c r="N150" s="4">
        <f t="shared" si="2"/>
        <v>2.36</v>
      </c>
      <c r="O150">
        <f>HOUR(TIMEVALUE(RetailTransactions[[#This Row],[Time]]))</f>
        <v>13</v>
      </c>
    </row>
    <row r="151" spans="1:15">
      <c r="A151" t="s">
        <v>286</v>
      </c>
      <c r="B151" s="3">
        <v>46231</v>
      </c>
      <c r="C151" t="s">
        <v>89</v>
      </c>
      <c r="D151" t="s">
        <v>22</v>
      </c>
      <c r="E151" t="s">
        <v>63</v>
      </c>
      <c r="F151" t="s">
        <v>50</v>
      </c>
      <c r="G151">
        <v>1</v>
      </c>
      <c r="H151" s="4">
        <v>3.49</v>
      </c>
      <c r="I151" t="s">
        <v>19</v>
      </c>
      <c r="J151">
        <v>47</v>
      </c>
      <c r="K151">
        <v>0</v>
      </c>
      <c r="L151">
        <v>4</v>
      </c>
      <c r="M151" s="5">
        <v>3.2</v>
      </c>
      <c r="N151" s="4">
        <f t="shared" si="2"/>
        <v>3.49</v>
      </c>
      <c r="O151">
        <f>HOUR(TIMEVALUE(RetailTransactions[[#This Row],[Time]]))</f>
        <v>14</v>
      </c>
    </row>
    <row r="152" spans="1:15">
      <c r="A152" t="s">
        <v>287</v>
      </c>
      <c r="B152" s="3">
        <v>46256</v>
      </c>
      <c r="C152" t="s">
        <v>267</v>
      </c>
      <c r="D152" t="s">
        <v>66</v>
      </c>
      <c r="E152" t="s">
        <v>63</v>
      </c>
      <c r="F152" t="s">
        <v>50</v>
      </c>
      <c r="G152">
        <v>1</v>
      </c>
      <c r="H152" s="4">
        <v>3.49</v>
      </c>
      <c r="I152" t="s">
        <v>19</v>
      </c>
      <c r="J152">
        <v>27</v>
      </c>
      <c r="K152">
        <v>0</v>
      </c>
      <c r="L152">
        <v>7</v>
      </c>
      <c r="M152" s="5">
        <v>5.3</v>
      </c>
      <c r="N152" s="4">
        <f t="shared" si="2"/>
        <v>3.49</v>
      </c>
      <c r="O152">
        <f>HOUR(TIMEVALUE(RetailTransactions[[#This Row],[Time]]))</f>
        <v>13</v>
      </c>
    </row>
    <row r="153" spans="1:15">
      <c r="A153" t="s">
        <v>288</v>
      </c>
      <c r="B153" s="3">
        <v>46262</v>
      </c>
      <c r="C153" t="s">
        <v>289</v>
      </c>
      <c r="D153" t="s">
        <v>72</v>
      </c>
      <c r="E153" t="s">
        <v>28</v>
      </c>
      <c r="F153" t="s">
        <v>29</v>
      </c>
      <c r="G153">
        <v>1</v>
      </c>
      <c r="H153" s="4">
        <v>3.29</v>
      </c>
      <c r="I153" t="s">
        <v>19</v>
      </c>
      <c r="J153">
        <v>19</v>
      </c>
      <c r="K153">
        <v>0</v>
      </c>
      <c r="L153">
        <v>4</v>
      </c>
      <c r="M153" s="5">
        <v>3</v>
      </c>
      <c r="N153" s="4">
        <f t="shared" si="2"/>
        <v>3.29</v>
      </c>
      <c r="O153">
        <f>HOUR(TIMEVALUE(RetailTransactions[[#This Row],[Time]]))</f>
        <v>7</v>
      </c>
    </row>
    <row r="154" spans="1:15">
      <c r="A154" t="s">
        <v>290</v>
      </c>
      <c r="B154" s="3">
        <v>46256</v>
      </c>
      <c r="C154" t="s">
        <v>103</v>
      </c>
      <c r="D154" t="s">
        <v>66</v>
      </c>
      <c r="E154" t="s">
        <v>49</v>
      </c>
      <c r="F154" t="s">
        <v>50</v>
      </c>
      <c r="G154">
        <v>3</v>
      </c>
      <c r="H154" s="4">
        <v>3.95</v>
      </c>
      <c r="I154" t="s">
        <v>19</v>
      </c>
      <c r="J154">
        <v>16</v>
      </c>
      <c r="K154">
        <v>0</v>
      </c>
      <c r="L154">
        <v>7</v>
      </c>
      <c r="M154" s="5">
        <v>2</v>
      </c>
      <c r="N154" s="4">
        <f t="shared" si="2"/>
        <v>11.850000000000001</v>
      </c>
      <c r="O154">
        <f>HOUR(TIMEVALUE(RetailTransactions[[#This Row],[Time]]))</f>
        <v>8</v>
      </c>
    </row>
    <row r="155" spans="1:15">
      <c r="A155" t="s">
        <v>291</v>
      </c>
      <c r="B155" s="3">
        <v>46201</v>
      </c>
      <c r="C155" t="s">
        <v>292</v>
      </c>
      <c r="D155" t="s">
        <v>27</v>
      </c>
      <c r="E155" t="s">
        <v>17</v>
      </c>
      <c r="F155" t="s">
        <v>18</v>
      </c>
      <c r="G155">
        <v>1</v>
      </c>
      <c r="H155" s="4">
        <v>1.49</v>
      </c>
      <c r="I155" t="s">
        <v>30</v>
      </c>
      <c r="J155">
        <v>24</v>
      </c>
      <c r="K155">
        <v>0</v>
      </c>
      <c r="L155">
        <v>5</v>
      </c>
      <c r="M155" s="5">
        <v>3.2</v>
      </c>
      <c r="N155" s="4">
        <f t="shared" si="2"/>
        <v>1.49</v>
      </c>
      <c r="O155">
        <f>HOUR(TIMEVALUE(RetailTransactions[[#This Row],[Time]]))</f>
        <v>9</v>
      </c>
    </row>
    <row r="156" spans="1:15">
      <c r="A156" t="s">
        <v>293</v>
      </c>
      <c r="B156" s="3">
        <v>46238</v>
      </c>
      <c r="C156" t="s">
        <v>130</v>
      </c>
      <c r="D156" t="s">
        <v>22</v>
      </c>
      <c r="E156" t="s">
        <v>17</v>
      </c>
      <c r="F156" t="s">
        <v>18</v>
      </c>
      <c r="G156">
        <v>1</v>
      </c>
      <c r="H156" s="4">
        <v>1.75</v>
      </c>
      <c r="I156" t="s">
        <v>19</v>
      </c>
      <c r="J156">
        <v>55</v>
      </c>
      <c r="K156">
        <v>0</v>
      </c>
      <c r="L156">
        <v>9</v>
      </c>
      <c r="M156" s="5">
        <v>4.3</v>
      </c>
      <c r="N156" s="4">
        <f t="shared" si="2"/>
        <v>1.75</v>
      </c>
      <c r="O156">
        <f>HOUR(TIMEVALUE(RetailTransactions[[#This Row],[Time]]))</f>
        <v>19</v>
      </c>
    </row>
    <row r="157" spans="1:15">
      <c r="A157" t="s">
        <v>294</v>
      </c>
      <c r="B157" s="3">
        <v>46178</v>
      </c>
      <c r="C157" t="s">
        <v>21</v>
      </c>
      <c r="D157" t="s">
        <v>72</v>
      </c>
      <c r="E157" t="s">
        <v>78</v>
      </c>
      <c r="F157" t="s">
        <v>39</v>
      </c>
      <c r="G157">
        <v>1</v>
      </c>
      <c r="H157" s="4">
        <v>1.32</v>
      </c>
      <c r="I157" t="s">
        <v>30</v>
      </c>
      <c r="J157">
        <v>6</v>
      </c>
      <c r="K157">
        <v>1</v>
      </c>
      <c r="L157">
        <v>5</v>
      </c>
      <c r="M157" s="5">
        <v>4.9000000000000004</v>
      </c>
      <c r="N157" s="4">
        <f t="shared" si="2"/>
        <v>1.32</v>
      </c>
      <c r="O157">
        <f>HOUR(TIMEVALUE(RetailTransactions[[#This Row],[Time]]))</f>
        <v>16</v>
      </c>
    </row>
    <row r="158" spans="1:15">
      <c r="A158" t="s">
        <v>295</v>
      </c>
      <c r="B158" s="3">
        <v>46180</v>
      </c>
      <c r="C158" t="s">
        <v>80</v>
      </c>
      <c r="D158" t="s">
        <v>27</v>
      </c>
      <c r="E158" t="s">
        <v>34</v>
      </c>
      <c r="F158" t="s">
        <v>24</v>
      </c>
      <c r="G158">
        <v>2</v>
      </c>
      <c r="H158" s="4">
        <v>1.49</v>
      </c>
      <c r="I158" t="s">
        <v>19</v>
      </c>
      <c r="J158">
        <v>33</v>
      </c>
      <c r="K158">
        <v>2</v>
      </c>
      <c r="L158">
        <v>7</v>
      </c>
      <c r="M158" s="5">
        <v>2.2000000000000002</v>
      </c>
      <c r="N158" s="4">
        <f t="shared" si="2"/>
        <v>2.98</v>
      </c>
      <c r="O158">
        <f>HOUR(TIMEVALUE(RetailTransactions[[#This Row],[Time]]))</f>
        <v>16</v>
      </c>
    </row>
    <row r="159" spans="1:15">
      <c r="A159" t="s">
        <v>296</v>
      </c>
      <c r="B159" s="3">
        <v>46229</v>
      </c>
      <c r="C159" t="s">
        <v>297</v>
      </c>
      <c r="D159" t="s">
        <v>27</v>
      </c>
      <c r="E159" t="s">
        <v>46</v>
      </c>
      <c r="F159" t="s">
        <v>24</v>
      </c>
      <c r="G159">
        <v>1</v>
      </c>
      <c r="H159" s="4">
        <v>1.79</v>
      </c>
      <c r="I159" t="s">
        <v>19</v>
      </c>
      <c r="J159">
        <v>49</v>
      </c>
      <c r="K159">
        <v>0</v>
      </c>
      <c r="L159">
        <v>7</v>
      </c>
      <c r="M159" s="5">
        <v>3.7</v>
      </c>
      <c r="N159" s="4">
        <f t="shared" si="2"/>
        <v>1.79</v>
      </c>
      <c r="O159">
        <f>HOUR(TIMEVALUE(RetailTransactions[[#This Row],[Time]]))</f>
        <v>19</v>
      </c>
    </row>
    <row r="160" spans="1:15">
      <c r="A160" t="s">
        <v>298</v>
      </c>
      <c r="B160" s="3">
        <v>46211</v>
      </c>
      <c r="C160" t="s">
        <v>154</v>
      </c>
      <c r="D160" t="s">
        <v>16</v>
      </c>
      <c r="E160" t="s">
        <v>17</v>
      </c>
      <c r="F160" t="s">
        <v>18</v>
      </c>
      <c r="G160">
        <v>1</v>
      </c>
      <c r="H160" s="4">
        <v>1.75</v>
      </c>
      <c r="I160" t="s">
        <v>19</v>
      </c>
      <c r="J160">
        <v>60</v>
      </c>
      <c r="K160">
        <v>0</v>
      </c>
      <c r="L160">
        <v>6</v>
      </c>
      <c r="M160" s="5">
        <v>2.5</v>
      </c>
      <c r="N160" s="4">
        <f t="shared" si="2"/>
        <v>1.75</v>
      </c>
      <c r="O160">
        <f>HOUR(TIMEVALUE(RetailTransactions[[#This Row],[Time]]))</f>
        <v>16</v>
      </c>
    </row>
    <row r="161" spans="1:15">
      <c r="A161" t="s">
        <v>299</v>
      </c>
      <c r="B161" s="3">
        <v>46235</v>
      </c>
      <c r="C161" t="s">
        <v>300</v>
      </c>
      <c r="D161" t="s">
        <v>66</v>
      </c>
      <c r="E161" t="s">
        <v>38</v>
      </c>
      <c r="F161" t="s">
        <v>39</v>
      </c>
      <c r="G161">
        <v>1</v>
      </c>
      <c r="H161" s="4">
        <v>2.79</v>
      </c>
      <c r="I161" t="s">
        <v>19</v>
      </c>
      <c r="J161">
        <v>43</v>
      </c>
      <c r="K161">
        <v>1</v>
      </c>
      <c r="L161">
        <v>9</v>
      </c>
      <c r="M161" s="5">
        <v>6</v>
      </c>
      <c r="N161" s="4">
        <f t="shared" si="2"/>
        <v>2.79</v>
      </c>
      <c r="O161">
        <f>HOUR(TIMEVALUE(RetailTransactions[[#This Row],[Time]]))</f>
        <v>18</v>
      </c>
    </row>
    <row r="162" spans="1:15">
      <c r="A162" t="s">
        <v>301</v>
      </c>
      <c r="B162" s="3">
        <v>46206</v>
      </c>
      <c r="C162" t="s">
        <v>84</v>
      </c>
      <c r="D162" t="s">
        <v>72</v>
      </c>
      <c r="E162" t="s">
        <v>38</v>
      </c>
      <c r="F162" t="s">
        <v>39</v>
      </c>
      <c r="G162">
        <v>3</v>
      </c>
      <c r="H162" s="4">
        <v>2.79</v>
      </c>
      <c r="I162" t="s">
        <v>19</v>
      </c>
      <c r="J162">
        <v>5</v>
      </c>
      <c r="K162">
        <v>0</v>
      </c>
      <c r="L162">
        <v>5</v>
      </c>
      <c r="M162" s="5">
        <v>3.4</v>
      </c>
      <c r="N162" s="4">
        <f t="shared" si="2"/>
        <v>8.370000000000001</v>
      </c>
      <c r="O162">
        <f>HOUR(TIMEVALUE(RetailTransactions[[#This Row],[Time]]))</f>
        <v>14</v>
      </c>
    </row>
    <row r="163" spans="1:15">
      <c r="A163" t="s">
        <v>302</v>
      </c>
      <c r="B163" s="3">
        <v>46224</v>
      </c>
      <c r="C163" t="s">
        <v>303</v>
      </c>
      <c r="D163" t="s">
        <v>22</v>
      </c>
      <c r="E163" t="s">
        <v>46</v>
      </c>
      <c r="F163" t="s">
        <v>24</v>
      </c>
      <c r="G163">
        <v>1</v>
      </c>
      <c r="H163" s="4">
        <v>1.52</v>
      </c>
      <c r="I163" t="s">
        <v>30</v>
      </c>
      <c r="J163">
        <v>3</v>
      </c>
      <c r="K163">
        <v>2</v>
      </c>
      <c r="L163">
        <v>4</v>
      </c>
      <c r="M163" s="5">
        <v>4</v>
      </c>
      <c r="N163" s="4">
        <f t="shared" si="2"/>
        <v>1.52</v>
      </c>
      <c r="O163">
        <f>HOUR(TIMEVALUE(RetailTransactions[[#This Row],[Time]]))</f>
        <v>16</v>
      </c>
    </row>
    <row r="164" spans="1:15">
      <c r="A164" t="s">
        <v>304</v>
      </c>
      <c r="B164" s="3">
        <v>46215</v>
      </c>
      <c r="C164" t="s">
        <v>305</v>
      </c>
      <c r="D164" t="s">
        <v>27</v>
      </c>
      <c r="E164" t="s">
        <v>46</v>
      </c>
      <c r="F164" t="s">
        <v>24</v>
      </c>
      <c r="G164">
        <v>2</v>
      </c>
      <c r="H164" s="4">
        <v>1.79</v>
      </c>
      <c r="I164" t="s">
        <v>19</v>
      </c>
      <c r="J164">
        <v>21</v>
      </c>
      <c r="K164">
        <v>0</v>
      </c>
      <c r="L164">
        <v>7</v>
      </c>
      <c r="M164" s="5">
        <v>4.4000000000000004</v>
      </c>
      <c r="N164" s="4">
        <f t="shared" si="2"/>
        <v>3.58</v>
      </c>
      <c r="O164">
        <f>HOUR(TIMEVALUE(RetailTransactions[[#This Row],[Time]]))</f>
        <v>13</v>
      </c>
    </row>
    <row r="165" spans="1:15">
      <c r="A165" t="s">
        <v>306</v>
      </c>
      <c r="B165" s="3">
        <v>46222</v>
      </c>
      <c r="C165" t="s">
        <v>307</v>
      </c>
      <c r="D165" t="s">
        <v>27</v>
      </c>
      <c r="E165" t="s">
        <v>38</v>
      </c>
      <c r="F165" t="s">
        <v>39</v>
      </c>
      <c r="G165">
        <v>2</v>
      </c>
      <c r="H165" s="4">
        <v>2.37</v>
      </c>
      <c r="I165" t="s">
        <v>30</v>
      </c>
      <c r="J165">
        <v>29</v>
      </c>
      <c r="K165">
        <v>0</v>
      </c>
      <c r="L165">
        <v>9</v>
      </c>
      <c r="M165" s="5">
        <v>4.0999999999999996</v>
      </c>
      <c r="N165" s="4">
        <f t="shared" si="2"/>
        <v>4.74</v>
      </c>
      <c r="O165">
        <f>HOUR(TIMEVALUE(RetailTransactions[[#This Row],[Time]]))</f>
        <v>19</v>
      </c>
    </row>
    <row r="166" spans="1:15">
      <c r="A166" t="s">
        <v>308</v>
      </c>
      <c r="B166" s="3">
        <v>46228</v>
      </c>
      <c r="C166" t="s">
        <v>204</v>
      </c>
      <c r="D166" t="s">
        <v>66</v>
      </c>
      <c r="E166" t="s">
        <v>115</v>
      </c>
      <c r="F166" t="s">
        <v>29</v>
      </c>
      <c r="G166">
        <v>2</v>
      </c>
      <c r="H166" s="4">
        <v>3.99</v>
      </c>
      <c r="I166" t="s">
        <v>19</v>
      </c>
      <c r="J166">
        <v>51</v>
      </c>
      <c r="K166">
        <v>0</v>
      </c>
      <c r="L166">
        <v>6</v>
      </c>
      <c r="M166" s="5">
        <v>2.6</v>
      </c>
      <c r="N166" s="4">
        <f t="shared" si="2"/>
        <v>7.98</v>
      </c>
      <c r="O166">
        <f>HOUR(TIMEVALUE(RetailTransactions[[#This Row],[Time]]))</f>
        <v>14</v>
      </c>
    </row>
    <row r="167" spans="1:15">
      <c r="A167" t="s">
        <v>309</v>
      </c>
      <c r="B167" s="3">
        <v>46263</v>
      </c>
      <c r="C167" t="s">
        <v>186</v>
      </c>
      <c r="D167" t="s">
        <v>66</v>
      </c>
      <c r="E167" t="s">
        <v>69</v>
      </c>
      <c r="F167" t="s">
        <v>43</v>
      </c>
      <c r="G167">
        <v>3</v>
      </c>
      <c r="H167" s="4">
        <v>1.99</v>
      </c>
      <c r="I167" t="s">
        <v>19</v>
      </c>
      <c r="J167">
        <v>52</v>
      </c>
      <c r="K167">
        <v>1</v>
      </c>
      <c r="L167">
        <v>7</v>
      </c>
      <c r="M167" s="5">
        <v>3.9</v>
      </c>
      <c r="N167" s="4">
        <f t="shared" si="2"/>
        <v>5.97</v>
      </c>
      <c r="O167">
        <f>HOUR(TIMEVALUE(RetailTransactions[[#This Row],[Time]]))</f>
        <v>18</v>
      </c>
    </row>
    <row r="168" spans="1:15">
      <c r="A168" t="s">
        <v>310</v>
      </c>
      <c r="B168" s="3">
        <v>46186</v>
      </c>
      <c r="C168" t="s">
        <v>267</v>
      </c>
      <c r="D168" t="s">
        <v>66</v>
      </c>
      <c r="E168" t="s">
        <v>23</v>
      </c>
      <c r="F168" t="s">
        <v>24</v>
      </c>
      <c r="G168">
        <v>1</v>
      </c>
      <c r="H168" s="4">
        <v>0.95</v>
      </c>
      <c r="I168" t="s">
        <v>19</v>
      </c>
      <c r="J168">
        <v>53</v>
      </c>
      <c r="K168">
        <v>1</v>
      </c>
      <c r="L168">
        <v>7</v>
      </c>
      <c r="M168" s="5">
        <v>2.9</v>
      </c>
      <c r="N168" s="4">
        <f t="shared" si="2"/>
        <v>0.95</v>
      </c>
      <c r="O168">
        <f>HOUR(TIMEVALUE(RetailTransactions[[#This Row],[Time]]))</f>
        <v>13</v>
      </c>
    </row>
    <row r="169" spans="1:15">
      <c r="A169" t="s">
        <v>311</v>
      </c>
      <c r="B169" s="3">
        <v>46258</v>
      </c>
      <c r="C169" t="s">
        <v>218</v>
      </c>
      <c r="D169" t="s">
        <v>33</v>
      </c>
      <c r="E169" t="s">
        <v>125</v>
      </c>
      <c r="F169" t="s">
        <v>39</v>
      </c>
      <c r="G169">
        <v>3</v>
      </c>
      <c r="H169" s="4">
        <v>1.85</v>
      </c>
      <c r="I169" t="s">
        <v>19</v>
      </c>
      <c r="J169">
        <v>3</v>
      </c>
      <c r="K169">
        <v>0</v>
      </c>
      <c r="L169">
        <v>6</v>
      </c>
      <c r="M169" s="5">
        <v>2.1</v>
      </c>
      <c r="N169" s="4">
        <f t="shared" si="2"/>
        <v>5.5500000000000007</v>
      </c>
      <c r="O169">
        <f>HOUR(TIMEVALUE(RetailTransactions[[#This Row],[Time]]))</f>
        <v>21</v>
      </c>
    </row>
    <row r="170" spans="1:15">
      <c r="A170" t="s">
        <v>312</v>
      </c>
      <c r="B170" s="3">
        <v>46245</v>
      </c>
      <c r="C170" t="s">
        <v>147</v>
      </c>
      <c r="D170" t="s">
        <v>22</v>
      </c>
      <c r="E170" t="s">
        <v>115</v>
      </c>
      <c r="F170" t="s">
        <v>29</v>
      </c>
      <c r="G170">
        <v>2</v>
      </c>
      <c r="H170" s="4">
        <v>3.99</v>
      </c>
      <c r="I170" t="s">
        <v>19</v>
      </c>
      <c r="J170">
        <v>9</v>
      </c>
      <c r="K170">
        <v>0</v>
      </c>
      <c r="L170">
        <v>4</v>
      </c>
      <c r="M170" s="5">
        <v>3.7</v>
      </c>
      <c r="N170" s="4">
        <f t="shared" si="2"/>
        <v>7.98</v>
      </c>
      <c r="O170">
        <f>HOUR(TIMEVALUE(RetailTransactions[[#This Row],[Time]]))</f>
        <v>14</v>
      </c>
    </row>
    <row r="171" spans="1:15">
      <c r="A171" t="s">
        <v>313</v>
      </c>
      <c r="B171" s="3">
        <v>46220</v>
      </c>
      <c r="C171" t="s">
        <v>314</v>
      </c>
      <c r="D171" t="s">
        <v>72</v>
      </c>
      <c r="E171" t="s">
        <v>120</v>
      </c>
      <c r="F171" t="s">
        <v>50</v>
      </c>
      <c r="G171">
        <v>1</v>
      </c>
      <c r="H171" s="4">
        <v>2.25</v>
      </c>
      <c r="I171" t="s">
        <v>19</v>
      </c>
      <c r="J171">
        <v>38</v>
      </c>
      <c r="K171">
        <v>1</v>
      </c>
      <c r="L171">
        <v>5</v>
      </c>
      <c r="M171" s="5">
        <v>2.8</v>
      </c>
      <c r="N171" s="4">
        <f t="shared" si="2"/>
        <v>2.25</v>
      </c>
      <c r="O171">
        <f>HOUR(TIMEVALUE(RetailTransactions[[#This Row],[Time]]))</f>
        <v>14</v>
      </c>
    </row>
    <row r="172" spans="1:15">
      <c r="A172" t="s">
        <v>315</v>
      </c>
      <c r="B172" s="3">
        <v>46256</v>
      </c>
      <c r="C172" t="s">
        <v>124</v>
      </c>
      <c r="D172" t="s">
        <v>66</v>
      </c>
      <c r="E172" t="s">
        <v>57</v>
      </c>
      <c r="F172" t="s">
        <v>43</v>
      </c>
      <c r="G172">
        <v>1</v>
      </c>
      <c r="H172" s="4">
        <v>1.69</v>
      </c>
      <c r="I172" t="s">
        <v>19</v>
      </c>
      <c r="J172">
        <v>7</v>
      </c>
      <c r="K172">
        <v>0</v>
      </c>
      <c r="L172">
        <v>9</v>
      </c>
      <c r="M172" s="5">
        <v>4.7</v>
      </c>
      <c r="N172" s="4">
        <f t="shared" si="2"/>
        <v>1.69</v>
      </c>
      <c r="O172">
        <f>HOUR(TIMEVALUE(RetailTransactions[[#This Row],[Time]]))</f>
        <v>18</v>
      </c>
    </row>
    <row r="173" spans="1:15">
      <c r="A173" t="s">
        <v>316</v>
      </c>
      <c r="B173" s="3">
        <v>46211</v>
      </c>
      <c r="C173" t="s">
        <v>144</v>
      </c>
      <c r="D173" t="s">
        <v>16</v>
      </c>
      <c r="E173" t="s">
        <v>49</v>
      </c>
      <c r="F173" t="s">
        <v>50</v>
      </c>
      <c r="G173">
        <v>4</v>
      </c>
      <c r="H173" s="4">
        <v>3.36</v>
      </c>
      <c r="I173" t="s">
        <v>30</v>
      </c>
      <c r="J173">
        <v>59</v>
      </c>
      <c r="K173">
        <v>0</v>
      </c>
      <c r="L173">
        <v>8</v>
      </c>
      <c r="M173" s="5">
        <v>5</v>
      </c>
      <c r="N173" s="4">
        <f t="shared" si="2"/>
        <v>13.44</v>
      </c>
      <c r="O173">
        <f>HOUR(TIMEVALUE(RetailTransactions[[#This Row],[Time]]))</f>
        <v>17</v>
      </c>
    </row>
    <row r="174" spans="1:15">
      <c r="A174" t="s">
        <v>317</v>
      </c>
      <c r="B174" s="3">
        <v>46214</v>
      </c>
      <c r="C174" t="s">
        <v>318</v>
      </c>
      <c r="D174" t="s">
        <v>66</v>
      </c>
      <c r="E174" t="s">
        <v>106</v>
      </c>
      <c r="F174" t="s">
        <v>18</v>
      </c>
      <c r="G174">
        <v>2</v>
      </c>
      <c r="H174" s="4">
        <v>1.89</v>
      </c>
      <c r="I174" t="s">
        <v>19</v>
      </c>
      <c r="J174">
        <v>44</v>
      </c>
      <c r="K174">
        <v>0</v>
      </c>
      <c r="L174">
        <v>9</v>
      </c>
      <c r="M174" s="5">
        <v>5.4</v>
      </c>
      <c r="N174" s="4">
        <f t="shared" si="2"/>
        <v>3.78</v>
      </c>
      <c r="O174">
        <f>HOUR(TIMEVALUE(RetailTransactions[[#This Row],[Time]]))</f>
        <v>12</v>
      </c>
    </row>
    <row r="175" spans="1:15">
      <c r="A175" t="s">
        <v>319</v>
      </c>
      <c r="B175" s="3">
        <v>46222</v>
      </c>
      <c r="C175" t="s">
        <v>320</v>
      </c>
      <c r="D175" t="s">
        <v>27</v>
      </c>
      <c r="E175" t="s">
        <v>42</v>
      </c>
      <c r="F175" t="s">
        <v>43</v>
      </c>
      <c r="G175">
        <v>1</v>
      </c>
      <c r="H175" s="4">
        <v>1.18</v>
      </c>
      <c r="I175" t="s">
        <v>30</v>
      </c>
      <c r="J175">
        <v>5</v>
      </c>
      <c r="K175">
        <v>0</v>
      </c>
      <c r="L175">
        <v>5</v>
      </c>
      <c r="M175" s="5">
        <v>5.0999999999999996</v>
      </c>
      <c r="N175" s="4">
        <f t="shared" si="2"/>
        <v>1.18</v>
      </c>
      <c r="O175">
        <f>HOUR(TIMEVALUE(RetailTransactions[[#This Row],[Time]]))</f>
        <v>7</v>
      </c>
    </row>
    <row r="176" spans="1:15">
      <c r="A176" t="s">
        <v>321</v>
      </c>
      <c r="B176" s="3">
        <v>46205</v>
      </c>
      <c r="C176" t="s">
        <v>77</v>
      </c>
      <c r="D176" t="s">
        <v>37</v>
      </c>
      <c r="E176" t="s">
        <v>42</v>
      </c>
      <c r="F176" t="s">
        <v>43</v>
      </c>
      <c r="G176">
        <v>1</v>
      </c>
      <c r="H176" s="4">
        <v>1.18</v>
      </c>
      <c r="I176" t="s">
        <v>30</v>
      </c>
      <c r="J176">
        <v>27</v>
      </c>
      <c r="K176">
        <v>2</v>
      </c>
      <c r="L176">
        <v>6</v>
      </c>
      <c r="M176" s="5">
        <v>4.8</v>
      </c>
      <c r="N176" s="4">
        <f t="shared" si="2"/>
        <v>1.18</v>
      </c>
      <c r="O176">
        <f>HOUR(TIMEVALUE(RetailTransactions[[#This Row],[Time]]))</f>
        <v>12</v>
      </c>
    </row>
    <row r="177" spans="1:15">
      <c r="A177" t="s">
        <v>322</v>
      </c>
      <c r="B177" s="3">
        <v>46263</v>
      </c>
      <c r="C177" t="s">
        <v>68</v>
      </c>
      <c r="D177" t="s">
        <v>66</v>
      </c>
      <c r="E177" t="s">
        <v>69</v>
      </c>
      <c r="F177" t="s">
        <v>43</v>
      </c>
      <c r="G177">
        <v>3</v>
      </c>
      <c r="H177" s="4">
        <v>1.99</v>
      </c>
      <c r="I177" t="s">
        <v>19</v>
      </c>
      <c r="J177">
        <v>4</v>
      </c>
      <c r="K177">
        <v>3</v>
      </c>
      <c r="L177">
        <v>6</v>
      </c>
      <c r="M177" s="5">
        <v>1.6</v>
      </c>
      <c r="N177" s="4">
        <f t="shared" si="2"/>
        <v>5.97</v>
      </c>
      <c r="O177">
        <f>HOUR(TIMEVALUE(RetailTransactions[[#This Row],[Time]]))</f>
        <v>16</v>
      </c>
    </row>
    <row r="178" spans="1:15">
      <c r="A178" t="s">
        <v>323</v>
      </c>
      <c r="B178" s="3">
        <v>46245</v>
      </c>
      <c r="C178" t="s">
        <v>181</v>
      </c>
      <c r="D178" t="s">
        <v>22</v>
      </c>
      <c r="E178" t="s">
        <v>85</v>
      </c>
      <c r="F178" t="s">
        <v>18</v>
      </c>
      <c r="G178">
        <v>2</v>
      </c>
      <c r="H178" s="4">
        <v>2.4900000000000002</v>
      </c>
      <c r="I178" t="s">
        <v>19</v>
      </c>
      <c r="J178">
        <v>6</v>
      </c>
      <c r="K178">
        <v>0</v>
      </c>
      <c r="L178">
        <v>7</v>
      </c>
      <c r="M178" s="5">
        <v>2</v>
      </c>
      <c r="N178" s="4">
        <f t="shared" si="2"/>
        <v>4.9800000000000004</v>
      </c>
      <c r="O178">
        <f>HOUR(TIMEVALUE(RetailTransactions[[#This Row],[Time]]))</f>
        <v>9</v>
      </c>
    </row>
    <row r="179" spans="1:15">
      <c r="A179" t="s">
        <v>324</v>
      </c>
      <c r="B179" s="3">
        <v>46249</v>
      </c>
      <c r="C179" t="s">
        <v>325</v>
      </c>
      <c r="D179" t="s">
        <v>66</v>
      </c>
      <c r="E179" t="s">
        <v>115</v>
      </c>
      <c r="F179" t="s">
        <v>29</v>
      </c>
      <c r="G179">
        <v>1</v>
      </c>
      <c r="H179" s="4">
        <v>3.99</v>
      </c>
      <c r="I179" t="s">
        <v>19</v>
      </c>
      <c r="J179">
        <v>38</v>
      </c>
      <c r="K179">
        <v>0</v>
      </c>
      <c r="L179">
        <v>4</v>
      </c>
      <c r="M179" s="5">
        <v>4.5999999999999996</v>
      </c>
      <c r="N179" s="4">
        <f t="shared" si="2"/>
        <v>3.99</v>
      </c>
      <c r="O179">
        <f>HOUR(TIMEVALUE(RetailTransactions[[#This Row],[Time]]))</f>
        <v>21</v>
      </c>
    </row>
    <row r="180" spans="1:15">
      <c r="A180" t="s">
        <v>326</v>
      </c>
      <c r="B180" s="3">
        <v>46263</v>
      </c>
      <c r="C180" t="s">
        <v>327</v>
      </c>
      <c r="D180" t="s">
        <v>66</v>
      </c>
      <c r="E180" t="s">
        <v>115</v>
      </c>
      <c r="F180" t="s">
        <v>29</v>
      </c>
      <c r="G180">
        <v>4</v>
      </c>
      <c r="H180" s="4">
        <v>3.99</v>
      </c>
      <c r="I180" t="s">
        <v>19</v>
      </c>
      <c r="J180">
        <v>33</v>
      </c>
      <c r="K180">
        <v>0</v>
      </c>
      <c r="L180">
        <v>9</v>
      </c>
      <c r="M180" s="5">
        <v>4.5999999999999996</v>
      </c>
      <c r="N180" s="4">
        <f t="shared" si="2"/>
        <v>15.96</v>
      </c>
      <c r="O180">
        <f>HOUR(TIMEVALUE(RetailTransactions[[#This Row],[Time]]))</f>
        <v>19</v>
      </c>
    </row>
    <row r="181" spans="1:15">
      <c r="A181" t="s">
        <v>328</v>
      </c>
      <c r="B181" s="3">
        <v>46177</v>
      </c>
      <c r="C181" t="s">
        <v>329</v>
      </c>
      <c r="D181" t="s">
        <v>37</v>
      </c>
      <c r="E181" t="s">
        <v>106</v>
      </c>
      <c r="F181" t="s">
        <v>18</v>
      </c>
      <c r="G181">
        <v>1</v>
      </c>
      <c r="H181" s="4">
        <v>1.89</v>
      </c>
      <c r="I181" t="s">
        <v>19</v>
      </c>
      <c r="J181">
        <v>24</v>
      </c>
      <c r="K181">
        <v>0</v>
      </c>
      <c r="L181">
        <v>4</v>
      </c>
      <c r="M181" s="5">
        <v>4.5</v>
      </c>
      <c r="N181" s="4">
        <f t="shared" si="2"/>
        <v>1.89</v>
      </c>
      <c r="O181">
        <f>HOUR(TIMEVALUE(RetailTransactions[[#This Row],[Time]]))</f>
        <v>10</v>
      </c>
    </row>
    <row r="182" spans="1:15">
      <c r="A182" t="s">
        <v>330</v>
      </c>
      <c r="B182" s="3">
        <v>46206</v>
      </c>
      <c r="C182" t="s">
        <v>272</v>
      </c>
      <c r="D182" t="s">
        <v>72</v>
      </c>
      <c r="E182" t="s">
        <v>28</v>
      </c>
      <c r="F182" t="s">
        <v>29</v>
      </c>
      <c r="G182">
        <v>1</v>
      </c>
      <c r="H182" s="4">
        <v>3.29</v>
      </c>
      <c r="I182" t="s">
        <v>19</v>
      </c>
      <c r="J182">
        <v>40</v>
      </c>
      <c r="K182">
        <v>0</v>
      </c>
      <c r="L182">
        <v>7</v>
      </c>
      <c r="M182" s="5">
        <v>3.8</v>
      </c>
      <c r="N182" s="4">
        <f t="shared" si="2"/>
        <v>3.29</v>
      </c>
      <c r="O182">
        <f>HOUR(TIMEVALUE(RetailTransactions[[#This Row],[Time]]))</f>
        <v>18</v>
      </c>
    </row>
    <row r="183" spans="1:15">
      <c r="A183" t="s">
        <v>331</v>
      </c>
      <c r="B183" s="3">
        <v>46259</v>
      </c>
      <c r="C183" t="s">
        <v>189</v>
      </c>
      <c r="D183" t="s">
        <v>22</v>
      </c>
      <c r="E183" t="s">
        <v>106</v>
      </c>
      <c r="F183" t="s">
        <v>18</v>
      </c>
      <c r="G183">
        <v>1</v>
      </c>
      <c r="H183" s="4">
        <v>1.61</v>
      </c>
      <c r="I183" t="s">
        <v>30</v>
      </c>
      <c r="J183">
        <v>17</v>
      </c>
      <c r="K183">
        <v>0</v>
      </c>
      <c r="L183">
        <v>6</v>
      </c>
      <c r="M183" s="5">
        <v>5.0999999999999996</v>
      </c>
      <c r="N183" s="4">
        <f t="shared" si="2"/>
        <v>1.61</v>
      </c>
      <c r="O183">
        <f>HOUR(TIMEVALUE(RetailTransactions[[#This Row],[Time]]))</f>
        <v>17</v>
      </c>
    </row>
    <row r="184" spans="1:15">
      <c r="A184" t="s">
        <v>332</v>
      </c>
      <c r="B184" s="3">
        <v>46213</v>
      </c>
      <c r="C184" t="s">
        <v>307</v>
      </c>
      <c r="D184" t="s">
        <v>72</v>
      </c>
      <c r="E184" t="s">
        <v>106</v>
      </c>
      <c r="F184" t="s">
        <v>18</v>
      </c>
      <c r="G184">
        <v>2</v>
      </c>
      <c r="H184" s="4">
        <v>1.89</v>
      </c>
      <c r="I184" t="s">
        <v>19</v>
      </c>
      <c r="J184">
        <v>12</v>
      </c>
      <c r="K184">
        <v>0</v>
      </c>
      <c r="L184">
        <v>6</v>
      </c>
      <c r="M184" s="5">
        <v>3.7</v>
      </c>
      <c r="N184" s="4">
        <f t="shared" si="2"/>
        <v>3.78</v>
      </c>
      <c r="O184">
        <f>HOUR(TIMEVALUE(RetailTransactions[[#This Row],[Time]]))</f>
        <v>19</v>
      </c>
    </row>
    <row r="185" spans="1:15">
      <c r="A185" t="s">
        <v>333</v>
      </c>
      <c r="B185" s="3">
        <v>46198</v>
      </c>
      <c r="C185" t="s">
        <v>59</v>
      </c>
      <c r="D185" t="s">
        <v>37</v>
      </c>
      <c r="E185" t="s">
        <v>115</v>
      </c>
      <c r="F185" t="s">
        <v>29</v>
      </c>
      <c r="G185">
        <v>2</v>
      </c>
      <c r="H185" s="4">
        <v>3.39</v>
      </c>
      <c r="I185" t="s">
        <v>30</v>
      </c>
      <c r="J185">
        <v>7</v>
      </c>
      <c r="K185">
        <v>0</v>
      </c>
      <c r="L185">
        <v>7</v>
      </c>
      <c r="M185" s="5">
        <v>3.1</v>
      </c>
      <c r="N185" s="4">
        <f t="shared" si="2"/>
        <v>6.78</v>
      </c>
      <c r="O185">
        <f>HOUR(TIMEVALUE(RetailTransactions[[#This Row],[Time]]))</f>
        <v>12</v>
      </c>
    </row>
    <row r="186" spans="1:15">
      <c r="A186" t="s">
        <v>334</v>
      </c>
      <c r="B186" s="3">
        <v>46229</v>
      </c>
      <c r="C186" t="s">
        <v>335</v>
      </c>
      <c r="D186" t="s">
        <v>27</v>
      </c>
      <c r="E186" t="s">
        <v>78</v>
      </c>
      <c r="F186" t="s">
        <v>39</v>
      </c>
      <c r="G186">
        <v>1</v>
      </c>
      <c r="H186" s="4">
        <v>1.55</v>
      </c>
      <c r="I186" t="s">
        <v>19</v>
      </c>
      <c r="J186">
        <v>20</v>
      </c>
      <c r="K186">
        <v>0</v>
      </c>
      <c r="L186">
        <v>7</v>
      </c>
      <c r="M186" s="5">
        <v>5.8</v>
      </c>
      <c r="N186" s="4">
        <f t="shared" si="2"/>
        <v>1.55</v>
      </c>
      <c r="O186">
        <f>HOUR(TIMEVALUE(RetailTransactions[[#This Row],[Time]]))</f>
        <v>18</v>
      </c>
    </row>
    <row r="187" spans="1:15">
      <c r="A187" t="s">
        <v>336</v>
      </c>
      <c r="B187" s="3">
        <v>46181</v>
      </c>
      <c r="C187" t="s">
        <v>241</v>
      </c>
      <c r="D187" t="s">
        <v>33</v>
      </c>
      <c r="E187" t="s">
        <v>120</v>
      </c>
      <c r="F187" t="s">
        <v>50</v>
      </c>
      <c r="G187">
        <v>2</v>
      </c>
      <c r="H187" s="4">
        <v>2.25</v>
      </c>
      <c r="I187" t="s">
        <v>19</v>
      </c>
      <c r="J187">
        <v>32</v>
      </c>
      <c r="K187">
        <v>0</v>
      </c>
      <c r="L187">
        <v>5</v>
      </c>
      <c r="M187" s="5">
        <v>3.8</v>
      </c>
      <c r="N187" s="4">
        <f t="shared" si="2"/>
        <v>4.5</v>
      </c>
      <c r="O187">
        <f>HOUR(TIMEVALUE(RetailTransactions[[#This Row],[Time]]))</f>
        <v>9</v>
      </c>
    </row>
    <row r="188" spans="1:15">
      <c r="A188" t="s">
        <v>337</v>
      </c>
      <c r="B188" s="3">
        <v>46211</v>
      </c>
      <c r="C188" t="s">
        <v>150</v>
      </c>
      <c r="D188" t="s">
        <v>16</v>
      </c>
      <c r="E188" t="s">
        <v>46</v>
      </c>
      <c r="F188" t="s">
        <v>24</v>
      </c>
      <c r="G188">
        <v>1</v>
      </c>
      <c r="H188" s="4">
        <v>1.79</v>
      </c>
      <c r="I188" t="s">
        <v>19</v>
      </c>
      <c r="J188">
        <v>47</v>
      </c>
      <c r="K188">
        <v>0</v>
      </c>
      <c r="L188">
        <v>5</v>
      </c>
      <c r="M188" s="5">
        <v>4</v>
      </c>
      <c r="N188" s="4">
        <f t="shared" si="2"/>
        <v>1.79</v>
      </c>
      <c r="O188">
        <f>HOUR(TIMEVALUE(RetailTransactions[[#This Row],[Time]]))</f>
        <v>14</v>
      </c>
    </row>
    <row r="189" spans="1:15">
      <c r="A189" t="s">
        <v>338</v>
      </c>
      <c r="B189" s="3">
        <v>46183</v>
      </c>
      <c r="C189" t="s">
        <v>215</v>
      </c>
      <c r="D189" t="s">
        <v>16</v>
      </c>
      <c r="E189" t="s">
        <v>106</v>
      </c>
      <c r="F189" t="s">
        <v>18</v>
      </c>
      <c r="G189">
        <v>2</v>
      </c>
      <c r="H189" s="4">
        <v>1.61</v>
      </c>
      <c r="I189" t="s">
        <v>30</v>
      </c>
      <c r="J189">
        <v>12</v>
      </c>
      <c r="K189">
        <v>0</v>
      </c>
      <c r="L189">
        <v>7</v>
      </c>
      <c r="M189" s="5">
        <v>6.7</v>
      </c>
      <c r="N189" s="4">
        <f t="shared" si="2"/>
        <v>3.22</v>
      </c>
      <c r="O189">
        <f>HOUR(TIMEVALUE(RetailTransactions[[#This Row],[Time]]))</f>
        <v>12</v>
      </c>
    </row>
    <row r="190" spans="1:15">
      <c r="A190" t="s">
        <v>339</v>
      </c>
      <c r="B190" s="3">
        <v>46207</v>
      </c>
      <c r="C190" t="s">
        <v>340</v>
      </c>
      <c r="D190" t="s">
        <v>66</v>
      </c>
      <c r="E190" t="s">
        <v>125</v>
      </c>
      <c r="F190" t="s">
        <v>39</v>
      </c>
      <c r="G190">
        <v>2</v>
      </c>
      <c r="H190" s="4">
        <v>1.57</v>
      </c>
      <c r="I190" t="s">
        <v>30</v>
      </c>
      <c r="J190">
        <v>18</v>
      </c>
      <c r="K190">
        <v>0</v>
      </c>
      <c r="L190">
        <v>8</v>
      </c>
      <c r="M190" s="5">
        <v>3.6</v>
      </c>
      <c r="N190" s="4">
        <f t="shared" si="2"/>
        <v>3.14</v>
      </c>
      <c r="O190">
        <f>HOUR(TIMEVALUE(RetailTransactions[[#This Row],[Time]]))</f>
        <v>19</v>
      </c>
    </row>
    <row r="191" spans="1:15">
      <c r="A191" t="s">
        <v>341</v>
      </c>
      <c r="B191" s="3">
        <v>46240</v>
      </c>
      <c r="C191" t="s">
        <v>204</v>
      </c>
      <c r="D191" t="s">
        <v>37</v>
      </c>
      <c r="E191" t="s">
        <v>63</v>
      </c>
      <c r="F191" t="s">
        <v>50</v>
      </c>
      <c r="G191">
        <v>2</v>
      </c>
      <c r="H191" s="4">
        <v>3.49</v>
      </c>
      <c r="I191" t="s">
        <v>19</v>
      </c>
      <c r="J191">
        <v>48</v>
      </c>
      <c r="K191">
        <v>0</v>
      </c>
      <c r="L191">
        <v>6</v>
      </c>
      <c r="M191" s="5">
        <v>2.7</v>
      </c>
      <c r="N191" s="4">
        <f t="shared" si="2"/>
        <v>6.98</v>
      </c>
      <c r="O191">
        <f>HOUR(TIMEVALUE(RetailTransactions[[#This Row],[Time]]))</f>
        <v>14</v>
      </c>
    </row>
    <row r="192" spans="1:15">
      <c r="A192" t="s">
        <v>342</v>
      </c>
      <c r="B192" s="3">
        <v>46202</v>
      </c>
      <c r="C192" t="s">
        <v>77</v>
      </c>
      <c r="D192" t="s">
        <v>33</v>
      </c>
      <c r="E192" t="s">
        <v>120</v>
      </c>
      <c r="F192" t="s">
        <v>50</v>
      </c>
      <c r="G192">
        <v>1</v>
      </c>
      <c r="H192" s="4">
        <v>1.91</v>
      </c>
      <c r="I192" t="s">
        <v>30</v>
      </c>
      <c r="J192">
        <v>53</v>
      </c>
      <c r="K192">
        <v>0</v>
      </c>
      <c r="L192">
        <v>8</v>
      </c>
      <c r="M192" s="5">
        <v>4.2</v>
      </c>
      <c r="N192" s="4">
        <f t="shared" si="2"/>
        <v>1.91</v>
      </c>
      <c r="O192">
        <f>HOUR(TIMEVALUE(RetailTransactions[[#This Row],[Time]]))</f>
        <v>12</v>
      </c>
    </row>
    <row r="193" spans="1:15">
      <c r="A193" t="s">
        <v>343</v>
      </c>
      <c r="B193" s="3">
        <v>46256</v>
      </c>
      <c r="C193" t="s">
        <v>168</v>
      </c>
      <c r="D193" t="s">
        <v>66</v>
      </c>
      <c r="E193" t="s">
        <v>28</v>
      </c>
      <c r="F193" t="s">
        <v>29</v>
      </c>
      <c r="G193">
        <v>1</v>
      </c>
      <c r="H193" s="4">
        <v>2.8</v>
      </c>
      <c r="I193" t="s">
        <v>30</v>
      </c>
      <c r="J193">
        <v>32</v>
      </c>
      <c r="K193">
        <v>0</v>
      </c>
      <c r="L193">
        <v>7</v>
      </c>
      <c r="M193" s="5">
        <v>4.5</v>
      </c>
      <c r="N193" s="4">
        <f t="shared" si="2"/>
        <v>2.8</v>
      </c>
      <c r="O193">
        <f>HOUR(TIMEVALUE(RetailTransactions[[#This Row],[Time]]))</f>
        <v>13</v>
      </c>
    </row>
    <row r="194" spans="1:15">
      <c r="A194" t="s">
        <v>344</v>
      </c>
      <c r="B194" s="3">
        <v>46221</v>
      </c>
      <c r="C194" t="s">
        <v>345</v>
      </c>
      <c r="D194" t="s">
        <v>66</v>
      </c>
      <c r="E194" t="s">
        <v>23</v>
      </c>
      <c r="F194" t="s">
        <v>24</v>
      </c>
      <c r="G194">
        <v>1</v>
      </c>
      <c r="H194" s="4">
        <v>0.95</v>
      </c>
      <c r="I194" t="s">
        <v>19</v>
      </c>
      <c r="J194">
        <v>55</v>
      </c>
      <c r="K194">
        <v>0</v>
      </c>
      <c r="L194">
        <v>9</v>
      </c>
      <c r="M194" s="5">
        <v>3.6</v>
      </c>
      <c r="N194" s="4">
        <f t="shared" ref="N194:N257" si="3">G194*H194</f>
        <v>0.95</v>
      </c>
      <c r="O194">
        <f>HOUR(TIMEVALUE(RetailTransactions[[#This Row],[Time]]))</f>
        <v>18</v>
      </c>
    </row>
    <row r="195" spans="1:15">
      <c r="A195" t="s">
        <v>346</v>
      </c>
      <c r="B195" s="3">
        <v>46193</v>
      </c>
      <c r="C195" t="s">
        <v>347</v>
      </c>
      <c r="D195" t="s">
        <v>66</v>
      </c>
      <c r="E195" t="s">
        <v>120</v>
      </c>
      <c r="F195" t="s">
        <v>50</v>
      </c>
      <c r="G195">
        <v>2</v>
      </c>
      <c r="H195" s="4">
        <v>2.25</v>
      </c>
      <c r="I195" t="s">
        <v>19</v>
      </c>
      <c r="J195">
        <v>55</v>
      </c>
      <c r="K195">
        <v>0</v>
      </c>
      <c r="L195">
        <v>6</v>
      </c>
      <c r="M195" s="5">
        <v>3.7</v>
      </c>
      <c r="N195" s="4">
        <f t="shared" si="3"/>
        <v>4.5</v>
      </c>
      <c r="O195">
        <f>HOUR(TIMEVALUE(RetailTransactions[[#This Row],[Time]]))</f>
        <v>12</v>
      </c>
    </row>
    <row r="196" spans="1:15">
      <c r="A196" t="s">
        <v>348</v>
      </c>
      <c r="B196" s="3">
        <v>46226</v>
      </c>
      <c r="C196" t="s">
        <v>272</v>
      </c>
      <c r="D196" t="s">
        <v>37</v>
      </c>
      <c r="E196" t="s">
        <v>106</v>
      </c>
      <c r="F196" t="s">
        <v>18</v>
      </c>
      <c r="G196">
        <v>1</v>
      </c>
      <c r="H196" s="4">
        <v>1.89</v>
      </c>
      <c r="I196" t="s">
        <v>19</v>
      </c>
      <c r="J196">
        <v>57</v>
      </c>
      <c r="K196">
        <v>0</v>
      </c>
      <c r="L196">
        <v>8</v>
      </c>
      <c r="M196" s="5">
        <v>5</v>
      </c>
      <c r="N196" s="4">
        <f t="shared" si="3"/>
        <v>1.89</v>
      </c>
      <c r="O196">
        <f>HOUR(TIMEVALUE(RetailTransactions[[#This Row],[Time]]))</f>
        <v>18</v>
      </c>
    </row>
    <row r="197" spans="1:15">
      <c r="A197" t="s">
        <v>349</v>
      </c>
      <c r="B197" s="3">
        <v>46236</v>
      </c>
      <c r="C197" t="s">
        <v>247</v>
      </c>
      <c r="D197" t="s">
        <v>27</v>
      </c>
      <c r="E197" t="s">
        <v>125</v>
      </c>
      <c r="F197" t="s">
        <v>39</v>
      </c>
      <c r="G197">
        <v>3</v>
      </c>
      <c r="H197" s="4">
        <v>1.57</v>
      </c>
      <c r="I197" t="s">
        <v>30</v>
      </c>
      <c r="J197">
        <v>21</v>
      </c>
      <c r="K197">
        <v>0</v>
      </c>
      <c r="L197">
        <v>9</v>
      </c>
      <c r="M197" s="5">
        <v>3.5</v>
      </c>
      <c r="N197" s="4">
        <f t="shared" si="3"/>
        <v>4.71</v>
      </c>
      <c r="O197">
        <f>HOUR(TIMEVALUE(RetailTransactions[[#This Row],[Time]]))</f>
        <v>17</v>
      </c>
    </row>
    <row r="198" spans="1:15">
      <c r="A198" t="s">
        <v>350</v>
      </c>
      <c r="B198" s="3">
        <v>46181</v>
      </c>
      <c r="C198" t="s">
        <v>213</v>
      </c>
      <c r="D198" t="s">
        <v>33</v>
      </c>
      <c r="E198" t="s">
        <v>46</v>
      </c>
      <c r="F198" t="s">
        <v>24</v>
      </c>
      <c r="G198">
        <v>1</v>
      </c>
      <c r="H198" s="4">
        <v>1.52</v>
      </c>
      <c r="I198" t="s">
        <v>30</v>
      </c>
      <c r="J198">
        <v>18</v>
      </c>
      <c r="K198">
        <v>0</v>
      </c>
      <c r="L198">
        <v>5</v>
      </c>
      <c r="M198" s="5">
        <v>3</v>
      </c>
      <c r="N198" s="4">
        <f t="shared" si="3"/>
        <v>1.52</v>
      </c>
      <c r="O198">
        <f>HOUR(TIMEVALUE(RetailTransactions[[#This Row],[Time]]))</f>
        <v>8</v>
      </c>
    </row>
    <row r="199" spans="1:15">
      <c r="A199" t="s">
        <v>351</v>
      </c>
      <c r="B199" s="3">
        <v>46243</v>
      </c>
      <c r="C199" t="s">
        <v>318</v>
      </c>
      <c r="D199" t="s">
        <v>27</v>
      </c>
      <c r="E199" t="s">
        <v>69</v>
      </c>
      <c r="F199" t="s">
        <v>43</v>
      </c>
      <c r="G199">
        <v>2</v>
      </c>
      <c r="H199" s="4">
        <v>1.69</v>
      </c>
      <c r="I199" t="s">
        <v>30</v>
      </c>
      <c r="J199">
        <v>47</v>
      </c>
      <c r="K199">
        <v>1</v>
      </c>
      <c r="L199">
        <v>8</v>
      </c>
      <c r="M199" s="5">
        <v>4.5</v>
      </c>
      <c r="N199" s="4">
        <f t="shared" si="3"/>
        <v>3.38</v>
      </c>
      <c r="O199">
        <f>HOUR(TIMEVALUE(RetailTransactions[[#This Row],[Time]]))</f>
        <v>12</v>
      </c>
    </row>
    <row r="200" spans="1:15">
      <c r="A200" t="s">
        <v>352</v>
      </c>
      <c r="B200" s="3">
        <v>46260</v>
      </c>
      <c r="C200" t="s">
        <v>258</v>
      </c>
      <c r="D200" t="s">
        <v>16</v>
      </c>
      <c r="E200" t="s">
        <v>120</v>
      </c>
      <c r="F200" t="s">
        <v>50</v>
      </c>
      <c r="G200">
        <v>2</v>
      </c>
      <c r="H200" s="4">
        <v>2.25</v>
      </c>
      <c r="I200" t="s">
        <v>19</v>
      </c>
      <c r="J200">
        <v>14</v>
      </c>
      <c r="K200">
        <v>0</v>
      </c>
      <c r="L200">
        <v>7</v>
      </c>
      <c r="M200" s="5">
        <v>1.9</v>
      </c>
      <c r="N200" s="4">
        <f t="shared" si="3"/>
        <v>4.5</v>
      </c>
      <c r="O200">
        <f>HOUR(TIMEVALUE(RetailTransactions[[#This Row],[Time]]))</f>
        <v>16</v>
      </c>
    </row>
    <row r="201" spans="1:15">
      <c r="A201" t="s">
        <v>353</v>
      </c>
      <c r="B201" s="3">
        <v>46192</v>
      </c>
      <c r="C201" t="s">
        <v>318</v>
      </c>
      <c r="D201" t="s">
        <v>72</v>
      </c>
      <c r="E201" t="s">
        <v>49</v>
      </c>
      <c r="F201" t="s">
        <v>50</v>
      </c>
      <c r="G201">
        <v>1</v>
      </c>
      <c r="H201" s="4">
        <v>3.95</v>
      </c>
      <c r="I201" t="s">
        <v>19</v>
      </c>
      <c r="J201">
        <v>14</v>
      </c>
      <c r="K201">
        <v>0</v>
      </c>
      <c r="L201">
        <v>7</v>
      </c>
      <c r="M201" s="5">
        <v>5.5</v>
      </c>
      <c r="N201" s="4">
        <f t="shared" si="3"/>
        <v>3.95</v>
      </c>
      <c r="O201">
        <f>HOUR(TIMEVALUE(RetailTransactions[[#This Row],[Time]]))</f>
        <v>12</v>
      </c>
    </row>
    <row r="202" spans="1:15">
      <c r="A202" t="s">
        <v>354</v>
      </c>
      <c r="B202" s="3">
        <v>46194</v>
      </c>
      <c r="C202" t="s">
        <v>355</v>
      </c>
      <c r="D202" t="s">
        <v>27</v>
      </c>
      <c r="E202" t="s">
        <v>34</v>
      </c>
      <c r="F202" t="s">
        <v>24</v>
      </c>
      <c r="G202">
        <v>1</v>
      </c>
      <c r="H202" s="4">
        <v>1.49</v>
      </c>
      <c r="I202" t="s">
        <v>19</v>
      </c>
      <c r="J202">
        <v>43</v>
      </c>
      <c r="K202">
        <v>0</v>
      </c>
      <c r="L202">
        <v>6</v>
      </c>
      <c r="M202" s="5">
        <v>4.9000000000000004</v>
      </c>
      <c r="N202" s="4">
        <f t="shared" si="3"/>
        <v>1.49</v>
      </c>
      <c r="O202">
        <f>HOUR(TIMEVALUE(RetailTransactions[[#This Row],[Time]]))</f>
        <v>19</v>
      </c>
    </row>
    <row r="203" spans="1:15">
      <c r="A203" t="s">
        <v>356</v>
      </c>
      <c r="B203" s="3">
        <v>46195</v>
      </c>
      <c r="C203" t="s">
        <v>154</v>
      </c>
      <c r="D203" t="s">
        <v>33</v>
      </c>
      <c r="E203" t="s">
        <v>49</v>
      </c>
      <c r="F203" t="s">
        <v>50</v>
      </c>
      <c r="G203">
        <v>4</v>
      </c>
      <c r="H203" s="4">
        <v>3.95</v>
      </c>
      <c r="I203" t="s">
        <v>19</v>
      </c>
      <c r="J203">
        <v>53</v>
      </c>
      <c r="K203">
        <v>1</v>
      </c>
      <c r="L203">
        <v>6</v>
      </c>
      <c r="M203" s="5">
        <v>1.9</v>
      </c>
      <c r="N203" s="4">
        <f t="shared" si="3"/>
        <v>15.8</v>
      </c>
      <c r="O203">
        <f>HOUR(TIMEVALUE(RetailTransactions[[#This Row],[Time]]))</f>
        <v>16</v>
      </c>
    </row>
    <row r="204" spans="1:15">
      <c r="A204" t="s">
        <v>357</v>
      </c>
      <c r="B204" s="3">
        <v>46184</v>
      </c>
      <c r="C204" t="s">
        <v>65</v>
      </c>
      <c r="D204" t="s">
        <v>37</v>
      </c>
      <c r="E204" t="s">
        <v>38</v>
      </c>
      <c r="F204" t="s">
        <v>39</v>
      </c>
      <c r="G204">
        <v>1</v>
      </c>
      <c r="H204" s="4">
        <v>2.37</v>
      </c>
      <c r="I204" t="s">
        <v>30</v>
      </c>
      <c r="J204">
        <v>31</v>
      </c>
      <c r="K204">
        <v>0</v>
      </c>
      <c r="L204">
        <v>5</v>
      </c>
      <c r="M204" s="5">
        <v>2.8</v>
      </c>
      <c r="N204" s="4">
        <f t="shared" si="3"/>
        <v>2.37</v>
      </c>
      <c r="O204">
        <f>HOUR(TIMEVALUE(RetailTransactions[[#This Row],[Time]]))</f>
        <v>7</v>
      </c>
    </row>
    <row r="205" spans="1:15">
      <c r="A205" t="s">
        <v>358</v>
      </c>
      <c r="B205" s="3">
        <v>46221</v>
      </c>
      <c r="C205" t="s">
        <v>359</v>
      </c>
      <c r="D205" t="s">
        <v>66</v>
      </c>
      <c r="E205" t="s">
        <v>85</v>
      </c>
      <c r="F205" t="s">
        <v>18</v>
      </c>
      <c r="G205">
        <v>3</v>
      </c>
      <c r="H205" s="4">
        <v>2.4900000000000002</v>
      </c>
      <c r="I205" t="s">
        <v>19</v>
      </c>
      <c r="J205">
        <v>8</v>
      </c>
      <c r="K205">
        <v>0</v>
      </c>
      <c r="L205">
        <v>4</v>
      </c>
      <c r="M205" s="5">
        <v>2.5</v>
      </c>
      <c r="N205" s="4">
        <f t="shared" si="3"/>
        <v>7.4700000000000006</v>
      </c>
      <c r="O205">
        <f>HOUR(TIMEVALUE(RetailTransactions[[#This Row],[Time]]))</f>
        <v>8</v>
      </c>
    </row>
    <row r="206" spans="1:15">
      <c r="A206" t="s">
        <v>360</v>
      </c>
      <c r="B206" s="3">
        <v>46211</v>
      </c>
      <c r="C206" t="s">
        <v>134</v>
      </c>
      <c r="D206" t="s">
        <v>16</v>
      </c>
      <c r="E206" t="s">
        <v>106</v>
      </c>
      <c r="F206" t="s">
        <v>18</v>
      </c>
      <c r="G206">
        <v>1</v>
      </c>
      <c r="H206" s="4">
        <v>1.89</v>
      </c>
      <c r="I206" t="s">
        <v>19</v>
      </c>
      <c r="J206">
        <v>30</v>
      </c>
      <c r="K206">
        <v>0</v>
      </c>
      <c r="L206">
        <v>5</v>
      </c>
      <c r="M206" s="5">
        <v>2.9</v>
      </c>
      <c r="N206" s="4">
        <f t="shared" si="3"/>
        <v>1.89</v>
      </c>
      <c r="O206">
        <f>HOUR(TIMEVALUE(RetailTransactions[[#This Row],[Time]]))</f>
        <v>20</v>
      </c>
    </row>
    <row r="207" spans="1:15">
      <c r="A207" t="s">
        <v>361</v>
      </c>
      <c r="B207" s="3">
        <v>46264</v>
      </c>
      <c r="C207" t="s">
        <v>362</v>
      </c>
      <c r="D207" t="s">
        <v>27</v>
      </c>
      <c r="E207" t="s">
        <v>23</v>
      </c>
      <c r="F207" t="s">
        <v>24</v>
      </c>
      <c r="G207">
        <v>1</v>
      </c>
      <c r="H207" s="4">
        <v>0.95</v>
      </c>
      <c r="I207" t="s">
        <v>19</v>
      </c>
      <c r="J207">
        <v>4</v>
      </c>
      <c r="K207">
        <v>0</v>
      </c>
      <c r="L207">
        <v>9</v>
      </c>
      <c r="M207" s="5">
        <v>4.2</v>
      </c>
      <c r="N207" s="4">
        <f t="shared" si="3"/>
        <v>0.95</v>
      </c>
      <c r="O207">
        <f>HOUR(TIMEVALUE(RetailTransactions[[#This Row],[Time]]))</f>
        <v>17</v>
      </c>
    </row>
    <row r="208" spans="1:15">
      <c r="A208" t="s">
        <v>363</v>
      </c>
      <c r="B208" s="3">
        <v>46177</v>
      </c>
      <c r="C208" t="s">
        <v>147</v>
      </c>
      <c r="D208" t="s">
        <v>37</v>
      </c>
      <c r="E208" t="s">
        <v>125</v>
      </c>
      <c r="F208" t="s">
        <v>39</v>
      </c>
      <c r="G208">
        <v>1</v>
      </c>
      <c r="H208" s="4">
        <v>1.85</v>
      </c>
      <c r="I208" t="s">
        <v>19</v>
      </c>
      <c r="J208">
        <v>35</v>
      </c>
      <c r="K208">
        <v>1</v>
      </c>
      <c r="L208">
        <v>5</v>
      </c>
      <c r="M208" s="5">
        <v>2.6</v>
      </c>
      <c r="N208" s="4">
        <f t="shared" si="3"/>
        <v>1.85</v>
      </c>
      <c r="O208">
        <f>HOUR(TIMEVALUE(RetailTransactions[[#This Row],[Time]]))</f>
        <v>14</v>
      </c>
    </row>
    <row r="209" spans="1:15">
      <c r="A209" t="s">
        <v>364</v>
      </c>
      <c r="B209" s="3">
        <v>46175</v>
      </c>
      <c r="C209" t="s">
        <v>365</v>
      </c>
      <c r="D209" t="s">
        <v>22</v>
      </c>
      <c r="E209" t="s">
        <v>125</v>
      </c>
      <c r="F209" t="s">
        <v>39</v>
      </c>
      <c r="G209">
        <v>1</v>
      </c>
      <c r="H209" s="4">
        <v>1.85</v>
      </c>
      <c r="I209" t="s">
        <v>19</v>
      </c>
      <c r="J209">
        <v>43</v>
      </c>
      <c r="K209">
        <v>0</v>
      </c>
      <c r="L209">
        <v>6</v>
      </c>
      <c r="M209" s="5">
        <v>6</v>
      </c>
      <c r="N209" s="4">
        <f t="shared" si="3"/>
        <v>1.85</v>
      </c>
      <c r="O209">
        <f>HOUR(TIMEVALUE(RetailTransactions[[#This Row],[Time]]))</f>
        <v>19</v>
      </c>
    </row>
    <row r="210" spans="1:15">
      <c r="A210" t="s">
        <v>366</v>
      </c>
      <c r="B210" s="3">
        <v>46243</v>
      </c>
      <c r="C210" t="s">
        <v>84</v>
      </c>
      <c r="D210" t="s">
        <v>27</v>
      </c>
      <c r="E210" t="s">
        <v>69</v>
      </c>
      <c r="F210" t="s">
        <v>43</v>
      </c>
      <c r="G210">
        <v>1</v>
      </c>
      <c r="H210" s="4">
        <v>1.99</v>
      </c>
      <c r="I210" t="s">
        <v>19</v>
      </c>
      <c r="J210">
        <v>34</v>
      </c>
      <c r="K210">
        <v>1</v>
      </c>
      <c r="L210">
        <v>4</v>
      </c>
      <c r="M210" s="5">
        <v>3.5</v>
      </c>
      <c r="N210" s="4">
        <f t="shared" si="3"/>
        <v>1.99</v>
      </c>
      <c r="O210">
        <f>HOUR(TIMEVALUE(RetailTransactions[[#This Row],[Time]]))</f>
        <v>14</v>
      </c>
    </row>
    <row r="211" spans="1:15">
      <c r="A211" t="s">
        <v>367</v>
      </c>
      <c r="B211" s="3">
        <v>46174</v>
      </c>
      <c r="C211" t="s">
        <v>89</v>
      </c>
      <c r="D211" t="s">
        <v>33</v>
      </c>
      <c r="E211" t="s">
        <v>42</v>
      </c>
      <c r="F211" t="s">
        <v>43</v>
      </c>
      <c r="G211">
        <v>1</v>
      </c>
      <c r="H211" s="4">
        <v>1.39</v>
      </c>
      <c r="I211" t="s">
        <v>19</v>
      </c>
      <c r="J211">
        <v>15</v>
      </c>
      <c r="K211">
        <v>0</v>
      </c>
      <c r="L211">
        <v>4</v>
      </c>
      <c r="M211" s="5">
        <v>4.4000000000000004</v>
      </c>
      <c r="N211" s="4">
        <f t="shared" si="3"/>
        <v>1.39</v>
      </c>
      <c r="O211">
        <f>HOUR(TIMEVALUE(RetailTransactions[[#This Row],[Time]]))</f>
        <v>14</v>
      </c>
    </row>
    <row r="212" spans="1:15">
      <c r="A212" t="s">
        <v>368</v>
      </c>
      <c r="B212" s="3">
        <v>46243</v>
      </c>
      <c r="C212" t="s">
        <v>186</v>
      </c>
      <c r="D212" t="s">
        <v>27</v>
      </c>
      <c r="E212" t="s">
        <v>60</v>
      </c>
      <c r="F212" t="s">
        <v>29</v>
      </c>
      <c r="G212">
        <v>1</v>
      </c>
      <c r="H212" s="4">
        <v>2.69</v>
      </c>
      <c r="I212" t="s">
        <v>19</v>
      </c>
      <c r="J212">
        <v>24</v>
      </c>
      <c r="K212">
        <v>0</v>
      </c>
      <c r="L212">
        <v>9</v>
      </c>
      <c r="M212" s="5">
        <v>4.5999999999999996</v>
      </c>
      <c r="N212" s="4">
        <f t="shared" si="3"/>
        <v>2.69</v>
      </c>
      <c r="O212">
        <f>HOUR(TIMEVALUE(RetailTransactions[[#This Row],[Time]]))</f>
        <v>18</v>
      </c>
    </row>
    <row r="213" spans="1:15">
      <c r="A213" t="s">
        <v>369</v>
      </c>
      <c r="B213" s="3">
        <v>46263</v>
      </c>
      <c r="C213" t="s">
        <v>147</v>
      </c>
      <c r="D213" t="s">
        <v>66</v>
      </c>
      <c r="E213" t="s">
        <v>17</v>
      </c>
      <c r="F213" t="s">
        <v>18</v>
      </c>
      <c r="G213">
        <v>1</v>
      </c>
      <c r="H213" s="4">
        <v>1.75</v>
      </c>
      <c r="I213" t="s">
        <v>19</v>
      </c>
      <c r="J213">
        <v>46</v>
      </c>
      <c r="K213">
        <v>0</v>
      </c>
      <c r="L213">
        <v>6</v>
      </c>
      <c r="M213" s="5">
        <v>1.6</v>
      </c>
      <c r="N213" s="4">
        <f t="shared" si="3"/>
        <v>1.75</v>
      </c>
      <c r="O213">
        <f>HOUR(TIMEVALUE(RetailTransactions[[#This Row],[Time]]))</f>
        <v>14</v>
      </c>
    </row>
    <row r="214" spans="1:15">
      <c r="A214" t="s">
        <v>370</v>
      </c>
      <c r="B214" s="3">
        <v>46237</v>
      </c>
      <c r="C214" t="s">
        <v>15</v>
      </c>
      <c r="D214" t="s">
        <v>33</v>
      </c>
      <c r="E214" t="s">
        <v>120</v>
      </c>
      <c r="F214" t="s">
        <v>50</v>
      </c>
      <c r="G214">
        <v>2</v>
      </c>
      <c r="H214" s="4">
        <v>2.25</v>
      </c>
      <c r="I214" t="s">
        <v>19</v>
      </c>
      <c r="J214">
        <v>34</v>
      </c>
      <c r="K214">
        <v>0</v>
      </c>
      <c r="L214">
        <v>6</v>
      </c>
      <c r="M214" s="5">
        <v>2.6</v>
      </c>
      <c r="N214" s="4">
        <f t="shared" si="3"/>
        <v>4.5</v>
      </c>
      <c r="O214">
        <f>HOUR(TIMEVALUE(RetailTransactions[[#This Row],[Time]]))</f>
        <v>16</v>
      </c>
    </row>
    <row r="215" spans="1:15">
      <c r="A215" t="s">
        <v>371</v>
      </c>
      <c r="B215" s="3">
        <v>46235</v>
      </c>
      <c r="C215" t="s">
        <v>372</v>
      </c>
      <c r="D215" t="s">
        <v>66</v>
      </c>
      <c r="E215" t="s">
        <v>78</v>
      </c>
      <c r="F215" t="s">
        <v>39</v>
      </c>
      <c r="G215">
        <v>1</v>
      </c>
      <c r="H215" s="4">
        <v>1.55</v>
      </c>
      <c r="I215" t="s">
        <v>19</v>
      </c>
      <c r="J215">
        <v>14</v>
      </c>
      <c r="K215">
        <v>0</v>
      </c>
      <c r="L215">
        <v>5</v>
      </c>
      <c r="M215" s="5">
        <v>2.5</v>
      </c>
      <c r="N215" s="4">
        <f t="shared" si="3"/>
        <v>1.55</v>
      </c>
      <c r="O215">
        <f>HOUR(TIMEVALUE(RetailTransactions[[#This Row],[Time]]))</f>
        <v>8</v>
      </c>
    </row>
    <row r="216" spans="1:15">
      <c r="A216" t="s">
        <v>373</v>
      </c>
      <c r="B216" s="3">
        <v>46213</v>
      </c>
      <c r="C216" t="s">
        <v>156</v>
      </c>
      <c r="D216" t="s">
        <v>72</v>
      </c>
      <c r="E216" t="s">
        <v>106</v>
      </c>
      <c r="F216" t="s">
        <v>18</v>
      </c>
      <c r="G216">
        <v>4</v>
      </c>
      <c r="H216" s="4">
        <v>1.89</v>
      </c>
      <c r="I216" t="s">
        <v>19</v>
      </c>
      <c r="J216">
        <v>28</v>
      </c>
      <c r="K216">
        <v>0</v>
      </c>
      <c r="L216">
        <v>7</v>
      </c>
      <c r="M216" s="5">
        <v>1.5</v>
      </c>
      <c r="N216" s="4">
        <f t="shared" si="3"/>
        <v>7.56</v>
      </c>
      <c r="O216">
        <f>HOUR(TIMEVALUE(RetailTransactions[[#This Row],[Time]]))</f>
        <v>16</v>
      </c>
    </row>
    <row r="217" spans="1:15">
      <c r="A217" t="s">
        <v>374</v>
      </c>
      <c r="B217" s="3">
        <v>46248</v>
      </c>
      <c r="C217" t="s">
        <v>375</v>
      </c>
      <c r="D217" t="s">
        <v>72</v>
      </c>
      <c r="E217" t="s">
        <v>125</v>
      </c>
      <c r="F217" t="s">
        <v>39</v>
      </c>
      <c r="G217">
        <v>1</v>
      </c>
      <c r="H217" s="4">
        <v>1.57</v>
      </c>
      <c r="I217" t="s">
        <v>30</v>
      </c>
      <c r="J217">
        <v>51</v>
      </c>
      <c r="K217">
        <v>0</v>
      </c>
      <c r="L217">
        <v>7</v>
      </c>
      <c r="M217" s="5">
        <v>2.5</v>
      </c>
      <c r="N217" s="4">
        <f t="shared" si="3"/>
        <v>1.57</v>
      </c>
      <c r="O217">
        <f>HOUR(TIMEVALUE(RetailTransactions[[#This Row],[Time]]))</f>
        <v>8</v>
      </c>
    </row>
    <row r="218" spans="1:15">
      <c r="A218" t="s">
        <v>376</v>
      </c>
      <c r="B218" s="3">
        <v>46188</v>
      </c>
      <c r="C218" t="s">
        <v>132</v>
      </c>
      <c r="D218" t="s">
        <v>33</v>
      </c>
      <c r="E218" t="s">
        <v>60</v>
      </c>
      <c r="F218" t="s">
        <v>29</v>
      </c>
      <c r="G218">
        <v>1</v>
      </c>
      <c r="H218" s="4">
        <v>2.69</v>
      </c>
      <c r="I218" t="s">
        <v>19</v>
      </c>
      <c r="J218">
        <v>57</v>
      </c>
      <c r="K218">
        <v>0</v>
      </c>
      <c r="L218">
        <v>9</v>
      </c>
      <c r="M218" s="5">
        <v>4.8</v>
      </c>
      <c r="N218" s="4">
        <f t="shared" si="3"/>
        <v>2.69</v>
      </c>
      <c r="O218">
        <f>HOUR(TIMEVALUE(RetailTransactions[[#This Row],[Time]]))</f>
        <v>19</v>
      </c>
    </row>
    <row r="219" spans="1:15">
      <c r="A219" t="s">
        <v>377</v>
      </c>
      <c r="B219" s="3">
        <v>46257</v>
      </c>
      <c r="C219" t="s">
        <v>305</v>
      </c>
      <c r="D219" t="s">
        <v>27</v>
      </c>
      <c r="E219" t="s">
        <v>49</v>
      </c>
      <c r="F219" t="s">
        <v>50</v>
      </c>
      <c r="G219">
        <v>1</v>
      </c>
      <c r="H219" s="4">
        <v>3.95</v>
      </c>
      <c r="I219" t="s">
        <v>19</v>
      </c>
      <c r="J219">
        <v>21</v>
      </c>
      <c r="K219">
        <v>0</v>
      </c>
      <c r="L219">
        <v>7</v>
      </c>
      <c r="M219" s="5">
        <v>4.5999999999999996</v>
      </c>
      <c r="N219" s="4">
        <f t="shared" si="3"/>
        <v>3.95</v>
      </c>
      <c r="O219">
        <f>HOUR(TIMEVALUE(RetailTransactions[[#This Row],[Time]]))</f>
        <v>13</v>
      </c>
    </row>
    <row r="220" spans="1:15">
      <c r="A220" t="s">
        <v>378</v>
      </c>
      <c r="B220" s="3">
        <v>46179</v>
      </c>
      <c r="C220" t="s">
        <v>41</v>
      </c>
      <c r="D220" t="s">
        <v>66</v>
      </c>
      <c r="E220" t="s">
        <v>49</v>
      </c>
      <c r="F220" t="s">
        <v>50</v>
      </c>
      <c r="G220">
        <v>1</v>
      </c>
      <c r="H220" s="4">
        <v>3.95</v>
      </c>
      <c r="I220" t="s">
        <v>19</v>
      </c>
      <c r="J220">
        <v>23</v>
      </c>
      <c r="K220">
        <v>0</v>
      </c>
      <c r="L220">
        <v>5</v>
      </c>
      <c r="M220" s="5">
        <v>5</v>
      </c>
      <c r="N220" s="4">
        <f t="shared" si="3"/>
        <v>3.95</v>
      </c>
      <c r="O220">
        <f>HOUR(TIMEVALUE(RetailTransactions[[#This Row],[Time]]))</f>
        <v>15</v>
      </c>
    </row>
    <row r="221" spans="1:15">
      <c r="A221" t="s">
        <v>379</v>
      </c>
      <c r="B221" s="3">
        <v>46261</v>
      </c>
      <c r="C221" t="s">
        <v>359</v>
      </c>
      <c r="D221" t="s">
        <v>37</v>
      </c>
      <c r="E221" t="s">
        <v>17</v>
      </c>
      <c r="F221" t="s">
        <v>18</v>
      </c>
      <c r="G221">
        <v>1</v>
      </c>
      <c r="H221" s="4">
        <v>1.75</v>
      </c>
      <c r="I221" t="s">
        <v>19</v>
      </c>
      <c r="J221">
        <v>10</v>
      </c>
      <c r="K221">
        <v>0</v>
      </c>
      <c r="L221">
        <v>6</v>
      </c>
      <c r="M221" s="5">
        <v>1.8</v>
      </c>
      <c r="N221" s="4">
        <f t="shared" si="3"/>
        <v>1.75</v>
      </c>
      <c r="O221">
        <f>HOUR(TIMEVALUE(RetailTransactions[[#This Row],[Time]]))</f>
        <v>8</v>
      </c>
    </row>
    <row r="222" spans="1:15">
      <c r="A222" t="s">
        <v>380</v>
      </c>
      <c r="B222" s="3">
        <v>46227</v>
      </c>
      <c r="C222" t="s">
        <v>80</v>
      </c>
      <c r="D222" t="s">
        <v>72</v>
      </c>
      <c r="E222" t="s">
        <v>17</v>
      </c>
      <c r="F222" t="s">
        <v>18</v>
      </c>
      <c r="G222">
        <v>3</v>
      </c>
      <c r="H222" s="4">
        <v>1.49</v>
      </c>
      <c r="I222" t="s">
        <v>30</v>
      </c>
      <c r="J222">
        <v>26</v>
      </c>
      <c r="K222">
        <v>0</v>
      </c>
      <c r="L222">
        <v>6</v>
      </c>
      <c r="M222" s="5">
        <v>1.7</v>
      </c>
      <c r="N222" s="4">
        <f t="shared" si="3"/>
        <v>4.47</v>
      </c>
      <c r="O222">
        <f>HOUR(TIMEVALUE(RetailTransactions[[#This Row],[Time]]))</f>
        <v>16</v>
      </c>
    </row>
    <row r="223" spans="1:15">
      <c r="A223" t="s">
        <v>381</v>
      </c>
      <c r="B223" s="3">
        <v>46244</v>
      </c>
      <c r="C223" t="s">
        <v>382</v>
      </c>
      <c r="D223" t="s">
        <v>33</v>
      </c>
      <c r="E223" t="s">
        <v>60</v>
      </c>
      <c r="F223" t="s">
        <v>29</v>
      </c>
      <c r="G223">
        <v>1</v>
      </c>
      <c r="H223" s="4">
        <v>2.69</v>
      </c>
      <c r="I223" t="s">
        <v>19</v>
      </c>
      <c r="J223">
        <v>36</v>
      </c>
      <c r="K223">
        <v>0</v>
      </c>
      <c r="L223">
        <v>9</v>
      </c>
      <c r="M223" s="5">
        <v>4.3</v>
      </c>
      <c r="N223" s="4">
        <f t="shared" si="3"/>
        <v>2.69</v>
      </c>
      <c r="O223">
        <f>HOUR(TIMEVALUE(RetailTransactions[[#This Row],[Time]]))</f>
        <v>13</v>
      </c>
    </row>
    <row r="224" spans="1:15">
      <c r="A224" t="s">
        <v>383</v>
      </c>
      <c r="B224" s="3">
        <v>46264</v>
      </c>
      <c r="C224" t="s">
        <v>161</v>
      </c>
      <c r="D224" t="s">
        <v>27</v>
      </c>
      <c r="E224" t="s">
        <v>78</v>
      </c>
      <c r="F224" t="s">
        <v>39</v>
      </c>
      <c r="G224">
        <v>2</v>
      </c>
      <c r="H224" s="4">
        <v>1.32</v>
      </c>
      <c r="I224" t="s">
        <v>30</v>
      </c>
      <c r="J224">
        <v>60</v>
      </c>
      <c r="K224">
        <v>0</v>
      </c>
      <c r="L224">
        <v>7</v>
      </c>
      <c r="M224" s="5">
        <v>3.5</v>
      </c>
      <c r="N224" s="4">
        <f t="shared" si="3"/>
        <v>2.64</v>
      </c>
      <c r="O224">
        <f>HOUR(TIMEVALUE(RetailTransactions[[#This Row],[Time]]))</f>
        <v>19</v>
      </c>
    </row>
    <row r="225" spans="1:15">
      <c r="A225" t="s">
        <v>384</v>
      </c>
      <c r="B225" s="3">
        <v>46212</v>
      </c>
      <c r="C225" t="s">
        <v>347</v>
      </c>
      <c r="D225" t="s">
        <v>37</v>
      </c>
      <c r="E225" t="s">
        <v>120</v>
      </c>
      <c r="F225" t="s">
        <v>50</v>
      </c>
      <c r="G225">
        <v>4</v>
      </c>
      <c r="H225" s="4">
        <v>2.25</v>
      </c>
      <c r="I225" t="s">
        <v>19</v>
      </c>
      <c r="J225">
        <v>33</v>
      </c>
      <c r="K225">
        <v>0</v>
      </c>
      <c r="L225">
        <v>7</v>
      </c>
      <c r="M225" s="5">
        <v>4.4000000000000004</v>
      </c>
      <c r="N225" s="4">
        <f t="shared" si="3"/>
        <v>9</v>
      </c>
      <c r="O225">
        <f>HOUR(TIMEVALUE(RetailTransactions[[#This Row],[Time]]))</f>
        <v>12</v>
      </c>
    </row>
    <row r="226" spans="1:15">
      <c r="A226" t="s">
        <v>385</v>
      </c>
      <c r="B226" s="3">
        <v>46199</v>
      </c>
      <c r="C226" t="s">
        <v>108</v>
      </c>
      <c r="D226" t="s">
        <v>72</v>
      </c>
      <c r="E226" t="s">
        <v>63</v>
      </c>
      <c r="F226" t="s">
        <v>50</v>
      </c>
      <c r="G226">
        <v>1</v>
      </c>
      <c r="H226" s="4">
        <v>3.49</v>
      </c>
      <c r="I226" t="s">
        <v>19</v>
      </c>
      <c r="J226">
        <v>19</v>
      </c>
      <c r="K226">
        <v>0</v>
      </c>
      <c r="L226">
        <v>4</v>
      </c>
      <c r="M226" s="5">
        <v>4.0999999999999996</v>
      </c>
      <c r="N226" s="4">
        <f t="shared" si="3"/>
        <v>3.49</v>
      </c>
      <c r="O226">
        <f>HOUR(TIMEVALUE(RetailTransactions[[#This Row],[Time]]))</f>
        <v>14</v>
      </c>
    </row>
    <row r="227" spans="1:15">
      <c r="A227" t="s">
        <v>386</v>
      </c>
      <c r="B227" s="3">
        <v>46209</v>
      </c>
      <c r="C227" t="s">
        <v>59</v>
      </c>
      <c r="D227" t="s">
        <v>33</v>
      </c>
      <c r="E227" t="s">
        <v>46</v>
      </c>
      <c r="F227" t="s">
        <v>24</v>
      </c>
      <c r="G227">
        <v>3</v>
      </c>
      <c r="H227" s="4">
        <v>1.79</v>
      </c>
      <c r="I227" t="s">
        <v>19</v>
      </c>
      <c r="J227">
        <v>59</v>
      </c>
      <c r="K227">
        <v>0</v>
      </c>
      <c r="L227">
        <v>9</v>
      </c>
      <c r="M227" s="5">
        <v>6</v>
      </c>
      <c r="N227" s="4">
        <f t="shared" si="3"/>
        <v>5.37</v>
      </c>
      <c r="O227">
        <f>HOUR(TIMEVALUE(RetailTransactions[[#This Row],[Time]]))</f>
        <v>12</v>
      </c>
    </row>
    <row r="228" spans="1:15">
      <c r="A228" t="s">
        <v>387</v>
      </c>
      <c r="B228" s="3">
        <v>46197</v>
      </c>
      <c r="C228" t="s">
        <v>388</v>
      </c>
      <c r="D228" t="s">
        <v>16</v>
      </c>
      <c r="E228" t="s">
        <v>34</v>
      </c>
      <c r="F228" t="s">
        <v>24</v>
      </c>
      <c r="G228">
        <v>3</v>
      </c>
      <c r="H228" s="4">
        <v>1.27</v>
      </c>
      <c r="I228" t="s">
        <v>30</v>
      </c>
      <c r="J228">
        <v>6</v>
      </c>
      <c r="K228">
        <v>0</v>
      </c>
      <c r="L228">
        <v>8</v>
      </c>
      <c r="M228" s="5">
        <v>5.2</v>
      </c>
      <c r="N228" s="4">
        <f t="shared" si="3"/>
        <v>3.81</v>
      </c>
      <c r="O228">
        <f>HOUR(TIMEVALUE(RetailTransactions[[#This Row],[Time]]))</f>
        <v>18</v>
      </c>
    </row>
    <row r="229" spans="1:15">
      <c r="A229" t="s">
        <v>389</v>
      </c>
      <c r="B229" s="3">
        <v>46189</v>
      </c>
      <c r="C229" t="s">
        <v>99</v>
      </c>
      <c r="D229" t="s">
        <v>22</v>
      </c>
      <c r="E229" t="s">
        <v>78</v>
      </c>
      <c r="F229" t="s">
        <v>39</v>
      </c>
      <c r="G229">
        <v>1</v>
      </c>
      <c r="H229" s="4">
        <v>1.32</v>
      </c>
      <c r="I229" t="s">
        <v>30</v>
      </c>
      <c r="J229">
        <v>52</v>
      </c>
      <c r="K229">
        <v>0</v>
      </c>
      <c r="L229">
        <v>6</v>
      </c>
      <c r="M229" s="5">
        <v>1.3</v>
      </c>
      <c r="N229" s="4">
        <f t="shared" si="3"/>
        <v>1.32</v>
      </c>
      <c r="O229">
        <f>HOUR(TIMEVALUE(RetailTransactions[[#This Row],[Time]]))</f>
        <v>16</v>
      </c>
    </row>
    <row r="230" spans="1:15">
      <c r="A230" t="s">
        <v>390</v>
      </c>
      <c r="B230" s="3">
        <v>46179</v>
      </c>
      <c r="C230" t="s">
        <v>303</v>
      </c>
      <c r="D230" t="s">
        <v>66</v>
      </c>
      <c r="E230" t="s">
        <v>46</v>
      </c>
      <c r="F230" t="s">
        <v>24</v>
      </c>
      <c r="G230">
        <v>2</v>
      </c>
      <c r="H230" s="4">
        <v>1.79</v>
      </c>
      <c r="I230" t="s">
        <v>19</v>
      </c>
      <c r="J230">
        <v>21</v>
      </c>
      <c r="K230">
        <v>2</v>
      </c>
      <c r="L230">
        <v>5</v>
      </c>
      <c r="M230" s="5">
        <v>3.4</v>
      </c>
      <c r="N230" s="4">
        <f t="shared" si="3"/>
        <v>3.58</v>
      </c>
      <c r="O230">
        <f>HOUR(TIMEVALUE(RetailTransactions[[#This Row],[Time]]))</f>
        <v>16</v>
      </c>
    </row>
    <row r="231" spans="1:15">
      <c r="A231" t="s">
        <v>391</v>
      </c>
      <c r="B231" s="3">
        <v>46230</v>
      </c>
      <c r="C231" t="s">
        <v>392</v>
      </c>
      <c r="D231" t="s">
        <v>33</v>
      </c>
      <c r="E231" t="s">
        <v>34</v>
      </c>
      <c r="F231" t="s">
        <v>24</v>
      </c>
      <c r="G231">
        <v>1</v>
      </c>
      <c r="H231" s="4">
        <v>1.27</v>
      </c>
      <c r="I231" t="s">
        <v>30</v>
      </c>
      <c r="J231">
        <v>6</v>
      </c>
      <c r="K231">
        <v>0</v>
      </c>
      <c r="L231">
        <v>4</v>
      </c>
      <c r="M231" s="5">
        <v>4.2</v>
      </c>
      <c r="N231" s="4">
        <f t="shared" si="3"/>
        <v>1.27</v>
      </c>
      <c r="O231">
        <f>HOUR(TIMEVALUE(RetailTransactions[[#This Row],[Time]]))</f>
        <v>15</v>
      </c>
    </row>
    <row r="232" spans="1:15">
      <c r="A232" t="s">
        <v>393</v>
      </c>
      <c r="B232" s="3">
        <v>46213</v>
      </c>
      <c r="C232" t="s">
        <v>77</v>
      </c>
      <c r="D232" t="s">
        <v>72</v>
      </c>
      <c r="E232" t="s">
        <v>106</v>
      </c>
      <c r="F232" t="s">
        <v>18</v>
      </c>
      <c r="G232">
        <v>1</v>
      </c>
      <c r="H232" s="4">
        <v>1.89</v>
      </c>
      <c r="I232" t="s">
        <v>19</v>
      </c>
      <c r="J232">
        <v>50</v>
      </c>
      <c r="K232">
        <v>0</v>
      </c>
      <c r="L232">
        <v>9</v>
      </c>
      <c r="M232" s="5">
        <v>4.0999999999999996</v>
      </c>
      <c r="N232" s="4">
        <f t="shared" si="3"/>
        <v>1.89</v>
      </c>
      <c r="O232">
        <f>HOUR(TIMEVALUE(RetailTransactions[[#This Row],[Time]]))</f>
        <v>12</v>
      </c>
    </row>
    <row r="233" spans="1:15">
      <c r="A233" t="s">
        <v>394</v>
      </c>
      <c r="B233" s="3">
        <v>46217</v>
      </c>
      <c r="C233" t="s">
        <v>395</v>
      </c>
      <c r="D233" t="s">
        <v>22</v>
      </c>
      <c r="E233" t="s">
        <v>125</v>
      </c>
      <c r="F233" t="s">
        <v>39</v>
      </c>
      <c r="G233">
        <v>1</v>
      </c>
      <c r="H233" s="4">
        <v>1.85</v>
      </c>
      <c r="I233" t="s">
        <v>19</v>
      </c>
      <c r="J233">
        <v>34</v>
      </c>
      <c r="K233">
        <v>0</v>
      </c>
      <c r="L233">
        <v>4</v>
      </c>
      <c r="M233" s="5">
        <v>3.5</v>
      </c>
      <c r="N233" s="4">
        <f t="shared" si="3"/>
        <v>1.85</v>
      </c>
      <c r="O233">
        <f>HOUR(TIMEVALUE(RetailTransactions[[#This Row],[Time]]))</f>
        <v>10</v>
      </c>
    </row>
    <row r="234" spans="1:15">
      <c r="A234" t="s">
        <v>396</v>
      </c>
      <c r="B234" s="3">
        <v>46238</v>
      </c>
      <c r="C234" t="s">
        <v>397</v>
      </c>
      <c r="D234" t="s">
        <v>22</v>
      </c>
      <c r="E234" t="s">
        <v>106</v>
      </c>
      <c r="F234" t="s">
        <v>18</v>
      </c>
      <c r="G234">
        <v>1</v>
      </c>
      <c r="H234" s="4">
        <v>1.89</v>
      </c>
      <c r="I234" t="s">
        <v>19</v>
      </c>
      <c r="J234">
        <v>40</v>
      </c>
      <c r="K234">
        <v>0</v>
      </c>
      <c r="L234">
        <v>7</v>
      </c>
      <c r="M234" s="5">
        <v>1</v>
      </c>
      <c r="N234" s="4">
        <f t="shared" si="3"/>
        <v>1.89</v>
      </c>
      <c r="O234">
        <f>HOUR(TIMEVALUE(RetailTransactions[[#This Row],[Time]]))</f>
        <v>21</v>
      </c>
    </row>
    <row r="235" spans="1:15">
      <c r="A235" t="s">
        <v>398</v>
      </c>
      <c r="B235" s="3">
        <v>46179</v>
      </c>
      <c r="C235" t="s">
        <v>303</v>
      </c>
      <c r="D235" t="s">
        <v>66</v>
      </c>
      <c r="E235" t="s">
        <v>115</v>
      </c>
      <c r="F235" t="s">
        <v>29</v>
      </c>
      <c r="G235">
        <v>2</v>
      </c>
      <c r="H235" s="4">
        <v>3.99</v>
      </c>
      <c r="I235" t="s">
        <v>19</v>
      </c>
      <c r="J235">
        <v>14</v>
      </c>
      <c r="K235">
        <v>0</v>
      </c>
      <c r="L235">
        <v>7</v>
      </c>
      <c r="M235" s="5">
        <v>1</v>
      </c>
      <c r="N235" s="4">
        <f t="shared" si="3"/>
        <v>7.98</v>
      </c>
      <c r="O235">
        <f>HOUR(TIMEVALUE(RetailTransactions[[#This Row],[Time]]))</f>
        <v>16</v>
      </c>
    </row>
    <row r="236" spans="1:15">
      <c r="A236" t="s">
        <v>399</v>
      </c>
      <c r="B236" s="3">
        <v>46183</v>
      </c>
      <c r="C236" t="s">
        <v>161</v>
      </c>
      <c r="D236" t="s">
        <v>16</v>
      </c>
      <c r="E236" t="s">
        <v>34</v>
      </c>
      <c r="F236" t="s">
        <v>24</v>
      </c>
      <c r="G236">
        <v>1</v>
      </c>
      <c r="H236" s="4">
        <v>1.49</v>
      </c>
      <c r="I236" t="s">
        <v>19</v>
      </c>
      <c r="J236">
        <v>46</v>
      </c>
      <c r="K236">
        <v>0</v>
      </c>
      <c r="L236">
        <v>7</v>
      </c>
      <c r="M236" s="5">
        <v>4.5999999999999996</v>
      </c>
      <c r="N236" s="4">
        <f t="shared" si="3"/>
        <v>1.49</v>
      </c>
      <c r="O236">
        <f>HOUR(TIMEVALUE(RetailTransactions[[#This Row],[Time]]))</f>
        <v>19</v>
      </c>
    </row>
    <row r="237" spans="1:15">
      <c r="A237" t="s">
        <v>400</v>
      </c>
      <c r="B237" s="3">
        <v>46190</v>
      </c>
      <c r="C237" t="s">
        <v>401</v>
      </c>
      <c r="D237" t="s">
        <v>16</v>
      </c>
      <c r="E237" t="s">
        <v>46</v>
      </c>
      <c r="F237" t="s">
        <v>24</v>
      </c>
      <c r="G237">
        <v>1</v>
      </c>
      <c r="H237" s="4">
        <v>1.52</v>
      </c>
      <c r="I237" t="s">
        <v>30</v>
      </c>
      <c r="J237">
        <v>53</v>
      </c>
      <c r="K237">
        <v>1</v>
      </c>
      <c r="L237">
        <v>4</v>
      </c>
      <c r="M237" s="5">
        <v>4.4000000000000004</v>
      </c>
      <c r="N237" s="4">
        <f t="shared" si="3"/>
        <v>1.52</v>
      </c>
      <c r="O237">
        <f>HOUR(TIMEVALUE(RetailTransactions[[#This Row],[Time]]))</f>
        <v>8</v>
      </c>
    </row>
    <row r="238" spans="1:15">
      <c r="A238" t="s">
        <v>402</v>
      </c>
      <c r="B238" s="3">
        <v>46201</v>
      </c>
      <c r="C238" t="s">
        <v>403</v>
      </c>
      <c r="D238" t="s">
        <v>27</v>
      </c>
      <c r="E238" t="s">
        <v>78</v>
      </c>
      <c r="F238" t="s">
        <v>39</v>
      </c>
      <c r="G238">
        <v>1</v>
      </c>
      <c r="H238" s="4">
        <v>1.55</v>
      </c>
      <c r="I238" t="s">
        <v>19</v>
      </c>
      <c r="J238">
        <v>27</v>
      </c>
      <c r="K238">
        <v>0</v>
      </c>
      <c r="L238">
        <v>4</v>
      </c>
      <c r="M238" s="5">
        <v>2.8</v>
      </c>
      <c r="N238" s="4">
        <f t="shared" si="3"/>
        <v>1.55</v>
      </c>
      <c r="O238">
        <f>HOUR(TIMEVALUE(RetailTransactions[[#This Row],[Time]]))</f>
        <v>11</v>
      </c>
    </row>
    <row r="239" spans="1:15">
      <c r="A239" t="s">
        <v>404</v>
      </c>
      <c r="B239" s="3">
        <v>46253</v>
      </c>
      <c r="C239" t="s">
        <v>101</v>
      </c>
      <c r="D239" t="s">
        <v>16</v>
      </c>
      <c r="E239" t="s">
        <v>69</v>
      </c>
      <c r="F239" t="s">
        <v>43</v>
      </c>
      <c r="G239">
        <v>2</v>
      </c>
      <c r="H239" s="4">
        <v>1.99</v>
      </c>
      <c r="I239" t="s">
        <v>19</v>
      </c>
      <c r="J239">
        <v>31</v>
      </c>
      <c r="K239">
        <v>0</v>
      </c>
      <c r="L239">
        <v>4</v>
      </c>
      <c r="M239" s="5">
        <v>2.4</v>
      </c>
      <c r="N239" s="4">
        <f t="shared" si="3"/>
        <v>3.98</v>
      </c>
      <c r="O239">
        <f>HOUR(TIMEVALUE(RetailTransactions[[#This Row],[Time]]))</f>
        <v>14</v>
      </c>
    </row>
    <row r="240" spans="1:15">
      <c r="A240" t="s">
        <v>405</v>
      </c>
      <c r="B240" s="3">
        <v>46202</v>
      </c>
      <c r="C240" t="s">
        <v>150</v>
      </c>
      <c r="D240" t="s">
        <v>33</v>
      </c>
      <c r="E240" t="s">
        <v>49</v>
      </c>
      <c r="F240" t="s">
        <v>50</v>
      </c>
      <c r="G240">
        <v>1</v>
      </c>
      <c r="H240" s="4">
        <v>3.36</v>
      </c>
      <c r="I240" t="s">
        <v>30</v>
      </c>
      <c r="J240">
        <v>3</v>
      </c>
      <c r="K240">
        <v>0</v>
      </c>
      <c r="L240">
        <v>6</v>
      </c>
      <c r="M240" s="5">
        <v>1.9</v>
      </c>
      <c r="N240" s="4">
        <f t="shared" si="3"/>
        <v>3.36</v>
      </c>
      <c r="O240">
        <f>HOUR(TIMEVALUE(RetailTransactions[[#This Row],[Time]]))</f>
        <v>14</v>
      </c>
    </row>
    <row r="241" spans="1:15">
      <c r="A241" t="s">
        <v>406</v>
      </c>
      <c r="B241" s="3">
        <v>46178</v>
      </c>
      <c r="C241" t="s">
        <v>189</v>
      </c>
      <c r="D241" t="s">
        <v>72</v>
      </c>
      <c r="E241" t="s">
        <v>46</v>
      </c>
      <c r="F241" t="s">
        <v>24</v>
      </c>
      <c r="G241">
        <v>2</v>
      </c>
      <c r="H241" s="4">
        <v>1.79</v>
      </c>
      <c r="I241" t="s">
        <v>19</v>
      </c>
      <c r="J241">
        <v>45</v>
      </c>
      <c r="K241">
        <v>0</v>
      </c>
      <c r="L241">
        <v>9</v>
      </c>
      <c r="M241" s="5">
        <v>4.3</v>
      </c>
      <c r="N241" s="4">
        <f t="shared" si="3"/>
        <v>3.58</v>
      </c>
      <c r="O241">
        <f>HOUR(TIMEVALUE(RetailTransactions[[#This Row],[Time]]))</f>
        <v>17</v>
      </c>
    </row>
    <row r="242" spans="1:15">
      <c r="A242" t="s">
        <v>407</v>
      </c>
      <c r="B242" s="3">
        <v>46221</v>
      </c>
      <c r="C242" t="s">
        <v>202</v>
      </c>
      <c r="D242" t="s">
        <v>66</v>
      </c>
      <c r="E242" t="s">
        <v>85</v>
      </c>
      <c r="F242" t="s">
        <v>18</v>
      </c>
      <c r="G242">
        <v>1</v>
      </c>
      <c r="H242" s="4">
        <v>2.4900000000000002</v>
      </c>
      <c r="I242" t="s">
        <v>19</v>
      </c>
      <c r="J242">
        <v>30</v>
      </c>
      <c r="K242">
        <v>0</v>
      </c>
      <c r="L242">
        <v>6</v>
      </c>
      <c r="M242" s="5">
        <v>3.7</v>
      </c>
      <c r="N242" s="4">
        <f t="shared" si="3"/>
        <v>2.4900000000000002</v>
      </c>
      <c r="O242">
        <f>HOUR(TIMEVALUE(RetailTransactions[[#This Row],[Time]]))</f>
        <v>13</v>
      </c>
    </row>
    <row r="243" spans="1:15">
      <c r="A243" t="s">
        <v>408</v>
      </c>
      <c r="B243" s="3">
        <v>46212</v>
      </c>
      <c r="C243" t="s">
        <v>409</v>
      </c>
      <c r="D243" t="s">
        <v>37</v>
      </c>
      <c r="E243" t="s">
        <v>63</v>
      </c>
      <c r="F243" t="s">
        <v>50</v>
      </c>
      <c r="G243">
        <v>1</v>
      </c>
      <c r="H243" s="4">
        <v>3.49</v>
      </c>
      <c r="I243" t="s">
        <v>19</v>
      </c>
      <c r="J243">
        <v>37</v>
      </c>
      <c r="K243">
        <v>0</v>
      </c>
      <c r="L243">
        <v>7</v>
      </c>
      <c r="M243" s="5">
        <v>1.1000000000000001</v>
      </c>
      <c r="N243" s="4">
        <f t="shared" si="3"/>
        <v>3.49</v>
      </c>
      <c r="O243">
        <f>HOUR(TIMEVALUE(RetailTransactions[[#This Row],[Time]]))</f>
        <v>21</v>
      </c>
    </row>
    <row r="244" spans="1:15">
      <c r="A244" t="s">
        <v>410</v>
      </c>
      <c r="B244" s="3">
        <v>46189</v>
      </c>
      <c r="C244" t="s">
        <v>156</v>
      </c>
      <c r="D244" t="s">
        <v>22</v>
      </c>
      <c r="E244" t="s">
        <v>57</v>
      </c>
      <c r="F244" t="s">
        <v>43</v>
      </c>
      <c r="G244">
        <v>1</v>
      </c>
      <c r="H244" s="4">
        <v>1.44</v>
      </c>
      <c r="I244" t="s">
        <v>30</v>
      </c>
      <c r="J244">
        <v>36</v>
      </c>
      <c r="K244">
        <v>0</v>
      </c>
      <c r="L244">
        <v>4</v>
      </c>
      <c r="M244" s="5">
        <v>3.5</v>
      </c>
      <c r="N244" s="4">
        <f t="shared" si="3"/>
        <v>1.44</v>
      </c>
      <c r="O244">
        <f>HOUR(TIMEVALUE(RetailTransactions[[#This Row],[Time]]))</f>
        <v>16</v>
      </c>
    </row>
    <row r="245" spans="1:15">
      <c r="A245" t="s">
        <v>411</v>
      </c>
      <c r="B245" s="3">
        <v>46223</v>
      </c>
      <c r="C245" t="s">
        <v>355</v>
      </c>
      <c r="D245" t="s">
        <v>33</v>
      </c>
      <c r="E245" t="s">
        <v>23</v>
      </c>
      <c r="F245" t="s">
        <v>24</v>
      </c>
      <c r="G245">
        <v>2</v>
      </c>
      <c r="H245" s="4">
        <v>0.95</v>
      </c>
      <c r="I245" t="s">
        <v>19</v>
      </c>
      <c r="J245">
        <v>12</v>
      </c>
      <c r="K245">
        <v>2</v>
      </c>
      <c r="L245">
        <v>7</v>
      </c>
      <c r="M245" s="5">
        <v>3.7</v>
      </c>
      <c r="N245" s="4">
        <f t="shared" si="3"/>
        <v>1.9</v>
      </c>
      <c r="O245">
        <f>HOUR(TIMEVALUE(RetailTransactions[[#This Row],[Time]]))</f>
        <v>19</v>
      </c>
    </row>
    <row r="246" spans="1:15">
      <c r="A246" t="s">
        <v>412</v>
      </c>
      <c r="B246" s="3">
        <v>46233</v>
      </c>
      <c r="C246" t="s">
        <v>59</v>
      </c>
      <c r="D246" t="s">
        <v>37</v>
      </c>
      <c r="E246" t="s">
        <v>49</v>
      </c>
      <c r="F246" t="s">
        <v>50</v>
      </c>
      <c r="G246">
        <v>2</v>
      </c>
      <c r="H246" s="4">
        <v>3.36</v>
      </c>
      <c r="I246" t="s">
        <v>30</v>
      </c>
      <c r="J246">
        <v>22</v>
      </c>
      <c r="K246">
        <v>0</v>
      </c>
      <c r="L246">
        <v>8</v>
      </c>
      <c r="M246" s="5">
        <v>3.8</v>
      </c>
      <c r="N246" s="4">
        <f t="shared" si="3"/>
        <v>6.72</v>
      </c>
      <c r="O246">
        <f>HOUR(TIMEVALUE(RetailTransactions[[#This Row],[Time]]))</f>
        <v>12</v>
      </c>
    </row>
    <row r="247" spans="1:15">
      <c r="A247" t="s">
        <v>413</v>
      </c>
      <c r="B247" s="3">
        <v>46207</v>
      </c>
      <c r="C247" t="s">
        <v>101</v>
      </c>
      <c r="D247" t="s">
        <v>66</v>
      </c>
      <c r="E247" t="s">
        <v>106</v>
      </c>
      <c r="F247" t="s">
        <v>18</v>
      </c>
      <c r="G247">
        <v>3</v>
      </c>
      <c r="H247" s="4">
        <v>1.89</v>
      </c>
      <c r="I247" t="s">
        <v>19</v>
      </c>
      <c r="J247">
        <v>27</v>
      </c>
      <c r="K247">
        <v>0</v>
      </c>
      <c r="L247">
        <v>6</v>
      </c>
      <c r="M247" s="5">
        <v>2.7</v>
      </c>
      <c r="N247" s="4">
        <f t="shared" si="3"/>
        <v>5.67</v>
      </c>
      <c r="O247">
        <f>HOUR(TIMEVALUE(RetailTransactions[[#This Row],[Time]]))</f>
        <v>14</v>
      </c>
    </row>
    <row r="248" spans="1:15">
      <c r="A248" t="s">
        <v>414</v>
      </c>
      <c r="B248" s="3">
        <v>46235</v>
      </c>
      <c r="C248" t="s">
        <v>415</v>
      </c>
      <c r="D248" t="s">
        <v>66</v>
      </c>
      <c r="E248" t="s">
        <v>57</v>
      </c>
      <c r="F248" t="s">
        <v>43</v>
      </c>
      <c r="G248">
        <v>1</v>
      </c>
      <c r="H248" s="4">
        <v>1.44</v>
      </c>
      <c r="I248" t="s">
        <v>30</v>
      </c>
      <c r="J248">
        <v>10</v>
      </c>
      <c r="K248">
        <v>0</v>
      </c>
      <c r="L248">
        <v>6</v>
      </c>
      <c r="M248" s="5">
        <v>2.4</v>
      </c>
      <c r="N248" s="4">
        <f t="shared" si="3"/>
        <v>1.44</v>
      </c>
      <c r="O248">
        <f>HOUR(TIMEVALUE(RetailTransactions[[#This Row],[Time]]))</f>
        <v>14</v>
      </c>
    </row>
    <row r="249" spans="1:15">
      <c r="A249" t="s">
        <v>416</v>
      </c>
      <c r="B249" s="3">
        <v>46174</v>
      </c>
      <c r="C249" t="s">
        <v>329</v>
      </c>
      <c r="D249" t="s">
        <v>33</v>
      </c>
      <c r="E249" t="s">
        <v>60</v>
      </c>
      <c r="F249" t="s">
        <v>29</v>
      </c>
      <c r="G249">
        <v>2</v>
      </c>
      <c r="H249" s="4">
        <v>2.69</v>
      </c>
      <c r="I249" t="s">
        <v>19</v>
      </c>
      <c r="J249">
        <v>8</v>
      </c>
      <c r="K249">
        <v>0</v>
      </c>
      <c r="L249">
        <v>7</v>
      </c>
      <c r="M249" s="5">
        <v>1</v>
      </c>
      <c r="N249" s="4">
        <f t="shared" si="3"/>
        <v>5.38</v>
      </c>
      <c r="O249">
        <f>HOUR(TIMEVALUE(RetailTransactions[[#This Row],[Time]]))</f>
        <v>10</v>
      </c>
    </row>
    <row r="250" spans="1:15">
      <c r="A250" t="s">
        <v>417</v>
      </c>
      <c r="B250" s="3">
        <v>46246</v>
      </c>
      <c r="C250" t="s">
        <v>211</v>
      </c>
      <c r="D250" t="s">
        <v>16</v>
      </c>
      <c r="E250" t="s">
        <v>46</v>
      </c>
      <c r="F250" t="s">
        <v>24</v>
      </c>
      <c r="G250">
        <v>1</v>
      </c>
      <c r="H250" s="4">
        <v>1.52</v>
      </c>
      <c r="I250" t="s">
        <v>30</v>
      </c>
      <c r="J250">
        <v>14</v>
      </c>
      <c r="K250">
        <v>0</v>
      </c>
      <c r="L250">
        <v>6</v>
      </c>
      <c r="M250" s="5">
        <v>3</v>
      </c>
      <c r="N250" s="4">
        <f t="shared" si="3"/>
        <v>1.52</v>
      </c>
      <c r="O250">
        <f>HOUR(TIMEVALUE(RetailTransactions[[#This Row],[Time]]))</f>
        <v>14</v>
      </c>
    </row>
    <row r="251" spans="1:15">
      <c r="A251" t="s">
        <v>418</v>
      </c>
      <c r="B251" s="3">
        <v>46201</v>
      </c>
      <c r="C251" t="s">
        <v>303</v>
      </c>
      <c r="D251" t="s">
        <v>27</v>
      </c>
      <c r="E251" t="s">
        <v>57</v>
      </c>
      <c r="F251" t="s">
        <v>43</v>
      </c>
      <c r="G251">
        <v>1</v>
      </c>
      <c r="H251" s="4">
        <v>1.69</v>
      </c>
      <c r="I251" t="s">
        <v>19</v>
      </c>
      <c r="J251">
        <v>14</v>
      </c>
      <c r="K251">
        <v>3</v>
      </c>
      <c r="L251">
        <v>6</v>
      </c>
      <c r="M251" s="5">
        <v>2.4</v>
      </c>
      <c r="N251" s="4">
        <f t="shared" si="3"/>
        <v>1.69</v>
      </c>
      <c r="O251">
        <f>HOUR(TIMEVALUE(RetailTransactions[[#This Row],[Time]]))</f>
        <v>16</v>
      </c>
    </row>
    <row r="252" spans="1:15">
      <c r="A252" t="s">
        <v>419</v>
      </c>
      <c r="B252" s="3">
        <v>46200</v>
      </c>
      <c r="C252" t="s">
        <v>156</v>
      </c>
      <c r="D252" t="s">
        <v>66</v>
      </c>
      <c r="E252" t="s">
        <v>106</v>
      </c>
      <c r="F252" t="s">
        <v>18</v>
      </c>
      <c r="G252">
        <v>3</v>
      </c>
      <c r="H252" s="4">
        <v>1.89</v>
      </c>
      <c r="I252" t="s">
        <v>19</v>
      </c>
      <c r="J252">
        <v>18</v>
      </c>
      <c r="K252">
        <v>0</v>
      </c>
      <c r="L252">
        <v>7</v>
      </c>
      <c r="M252" s="5">
        <v>1.3</v>
      </c>
      <c r="N252" s="4">
        <f t="shared" si="3"/>
        <v>5.67</v>
      </c>
      <c r="O252">
        <f>HOUR(TIMEVALUE(RetailTransactions[[#This Row],[Time]]))</f>
        <v>16</v>
      </c>
    </row>
    <row r="253" spans="1:15">
      <c r="A253" t="s">
        <v>420</v>
      </c>
      <c r="B253" s="3">
        <v>46220</v>
      </c>
      <c r="C253" t="s">
        <v>318</v>
      </c>
      <c r="D253" t="s">
        <v>72</v>
      </c>
      <c r="E253" t="s">
        <v>34</v>
      </c>
      <c r="F253" t="s">
        <v>24</v>
      </c>
      <c r="G253">
        <v>1</v>
      </c>
      <c r="H253" s="4">
        <v>1.49</v>
      </c>
      <c r="I253" t="s">
        <v>19</v>
      </c>
      <c r="J253">
        <v>13</v>
      </c>
      <c r="K253">
        <v>0</v>
      </c>
      <c r="L253">
        <v>7</v>
      </c>
      <c r="M253" s="5">
        <v>3.6</v>
      </c>
      <c r="N253" s="4">
        <f t="shared" si="3"/>
        <v>1.49</v>
      </c>
      <c r="O253">
        <f>HOUR(TIMEVALUE(RetailTransactions[[#This Row],[Time]]))</f>
        <v>12</v>
      </c>
    </row>
    <row r="254" spans="1:15">
      <c r="A254" t="s">
        <v>421</v>
      </c>
      <c r="B254" s="3">
        <v>46247</v>
      </c>
      <c r="C254" t="s">
        <v>68</v>
      </c>
      <c r="D254" t="s">
        <v>37</v>
      </c>
      <c r="E254" t="s">
        <v>106</v>
      </c>
      <c r="F254" t="s">
        <v>18</v>
      </c>
      <c r="G254">
        <v>1</v>
      </c>
      <c r="H254" s="4">
        <v>1.61</v>
      </c>
      <c r="I254" t="s">
        <v>30</v>
      </c>
      <c r="J254">
        <v>13</v>
      </c>
      <c r="K254">
        <v>0</v>
      </c>
      <c r="L254">
        <v>4</v>
      </c>
      <c r="M254" s="5">
        <v>4</v>
      </c>
      <c r="N254" s="4">
        <f t="shared" si="3"/>
        <v>1.61</v>
      </c>
      <c r="O254">
        <f>HOUR(TIMEVALUE(RetailTransactions[[#This Row],[Time]]))</f>
        <v>16</v>
      </c>
    </row>
    <row r="255" spans="1:15">
      <c r="A255" t="s">
        <v>422</v>
      </c>
      <c r="B255" s="3">
        <v>46245</v>
      </c>
      <c r="C255" t="s">
        <v>362</v>
      </c>
      <c r="D255" t="s">
        <v>22</v>
      </c>
      <c r="E255" t="s">
        <v>34</v>
      </c>
      <c r="F255" t="s">
        <v>24</v>
      </c>
      <c r="G255">
        <v>1</v>
      </c>
      <c r="H255" s="4">
        <v>1.49</v>
      </c>
      <c r="I255" t="s">
        <v>19</v>
      </c>
      <c r="J255">
        <v>8</v>
      </c>
      <c r="K255">
        <v>0</v>
      </c>
      <c r="L255">
        <v>8</v>
      </c>
      <c r="M255" s="5">
        <v>6.1</v>
      </c>
      <c r="N255" s="4">
        <f t="shared" si="3"/>
        <v>1.49</v>
      </c>
      <c r="O255">
        <f>HOUR(TIMEVALUE(RetailTransactions[[#This Row],[Time]]))</f>
        <v>17</v>
      </c>
    </row>
    <row r="256" spans="1:15">
      <c r="A256" t="s">
        <v>423</v>
      </c>
      <c r="B256" s="3">
        <v>46193</v>
      </c>
      <c r="C256" t="s">
        <v>186</v>
      </c>
      <c r="D256" t="s">
        <v>66</v>
      </c>
      <c r="E256" t="s">
        <v>85</v>
      </c>
      <c r="F256" t="s">
        <v>18</v>
      </c>
      <c r="G256">
        <v>2</v>
      </c>
      <c r="H256" s="4">
        <v>2.12</v>
      </c>
      <c r="I256" t="s">
        <v>30</v>
      </c>
      <c r="J256">
        <v>56</v>
      </c>
      <c r="K256">
        <v>0</v>
      </c>
      <c r="L256">
        <v>6</v>
      </c>
      <c r="M256" s="5">
        <v>4.0999999999999996</v>
      </c>
      <c r="N256" s="4">
        <f t="shared" si="3"/>
        <v>4.24</v>
      </c>
      <c r="O256">
        <f>HOUR(TIMEVALUE(RetailTransactions[[#This Row],[Time]]))</f>
        <v>18</v>
      </c>
    </row>
    <row r="257" spans="1:15">
      <c r="A257" t="s">
        <v>424</v>
      </c>
      <c r="B257" s="3">
        <v>46196</v>
      </c>
      <c r="C257" t="s">
        <v>224</v>
      </c>
      <c r="D257" t="s">
        <v>22</v>
      </c>
      <c r="E257" t="s">
        <v>69</v>
      </c>
      <c r="F257" t="s">
        <v>43</v>
      </c>
      <c r="G257">
        <v>1</v>
      </c>
      <c r="H257" s="4">
        <v>1.99</v>
      </c>
      <c r="I257" t="s">
        <v>19</v>
      </c>
      <c r="J257">
        <v>11</v>
      </c>
      <c r="K257">
        <v>0</v>
      </c>
      <c r="L257">
        <v>7</v>
      </c>
      <c r="M257" s="5">
        <v>4.9000000000000004</v>
      </c>
      <c r="N257" s="4">
        <f t="shared" si="3"/>
        <v>1.99</v>
      </c>
      <c r="O257">
        <f>HOUR(TIMEVALUE(RetailTransactions[[#This Row],[Time]]))</f>
        <v>19</v>
      </c>
    </row>
    <row r="258" spans="1:15">
      <c r="A258" t="s">
        <v>425</v>
      </c>
      <c r="B258" s="3">
        <v>46239</v>
      </c>
      <c r="C258" t="s">
        <v>54</v>
      </c>
      <c r="D258" t="s">
        <v>16</v>
      </c>
      <c r="E258" t="s">
        <v>120</v>
      </c>
      <c r="F258" t="s">
        <v>50</v>
      </c>
      <c r="G258">
        <v>1</v>
      </c>
      <c r="H258" s="4">
        <v>2.25</v>
      </c>
      <c r="I258" t="s">
        <v>19</v>
      </c>
      <c r="J258">
        <v>7</v>
      </c>
      <c r="K258">
        <v>0</v>
      </c>
      <c r="L258">
        <v>4</v>
      </c>
      <c r="M258" s="5">
        <v>3.6</v>
      </c>
      <c r="N258" s="4">
        <f t="shared" ref="N258:N321" si="4">G258*H258</f>
        <v>2.25</v>
      </c>
      <c r="O258">
        <f>HOUR(TIMEVALUE(RetailTransactions[[#This Row],[Time]]))</f>
        <v>11</v>
      </c>
    </row>
    <row r="259" spans="1:15">
      <c r="A259" t="s">
        <v>426</v>
      </c>
      <c r="B259" s="3">
        <v>46257</v>
      </c>
      <c r="C259" t="s">
        <v>122</v>
      </c>
      <c r="D259" t="s">
        <v>27</v>
      </c>
      <c r="E259" t="s">
        <v>69</v>
      </c>
      <c r="F259" t="s">
        <v>43</v>
      </c>
      <c r="G259">
        <v>1</v>
      </c>
      <c r="H259" s="4">
        <v>1.99</v>
      </c>
      <c r="I259" t="s">
        <v>19</v>
      </c>
      <c r="J259">
        <v>46</v>
      </c>
      <c r="K259">
        <v>0</v>
      </c>
      <c r="L259">
        <v>8</v>
      </c>
      <c r="M259" s="5">
        <v>4.5999999999999996</v>
      </c>
      <c r="N259" s="4">
        <f t="shared" si="4"/>
        <v>1.99</v>
      </c>
      <c r="O259">
        <f>HOUR(TIMEVALUE(RetailTransactions[[#This Row],[Time]]))</f>
        <v>12</v>
      </c>
    </row>
    <row r="260" spans="1:15">
      <c r="A260" t="s">
        <v>427</v>
      </c>
      <c r="B260" s="3">
        <v>46192</v>
      </c>
      <c r="C260" t="s">
        <v>108</v>
      </c>
      <c r="D260" t="s">
        <v>72</v>
      </c>
      <c r="E260" t="s">
        <v>34</v>
      </c>
      <c r="F260" t="s">
        <v>24</v>
      </c>
      <c r="G260">
        <v>2</v>
      </c>
      <c r="H260" s="4">
        <v>1.49</v>
      </c>
      <c r="I260" t="s">
        <v>19</v>
      </c>
      <c r="J260">
        <v>12</v>
      </c>
      <c r="K260">
        <v>0</v>
      </c>
      <c r="L260">
        <v>5</v>
      </c>
      <c r="M260" s="5">
        <v>3.6</v>
      </c>
      <c r="N260" s="4">
        <f t="shared" si="4"/>
        <v>2.98</v>
      </c>
      <c r="O260">
        <f>HOUR(TIMEVALUE(RetailTransactions[[#This Row],[Time]]))</f>
        <v>14</v>
      </c>
    </row>
    <row r="261" spans="1:15">
      <c r="A261" t="s">
        <v>428</v>
      </c>
      <c r="B261" s="3">
        <v>46193</v>
      </c>
      <c r="C261" t="s">
        <v>189</v>
      </c>
      <c r="D261" t="s">
        <v>66</v>
      </c>
      <c r="E261" t="s">
        <v>63</v>
      </c>
      <c r="F261" t="s">
        <v>50</v>
      </c>
      <c r="G261">
        <v>2</v>
      </c>
      <c r="H261" s="4">
        <v>3.49</v>
      </c>
      <c r="I261" t="s">
        <v>19</v>
      </c>
      <c r="J261">
        <v>34</v>
      </c>
      <c r="K261">
        <v>0</v>
      </c>
      <c r="L261">
        <v>9</v>
      </c>
      <c r="M261" s="5">
        <v>5</v>
      </c>
      <c r="N261" s="4">
        <f t="shared" si="4"/>
        <v>6.98</v>
      </c>
      <c r="O261">
        <f>HOUR(TIMEVALUE(RetailTransactions[[#This Row],[Time]]))</f>
        <v>17</v>
      </c>
    </row>
    <row r="262" spans="1:15">
      <c r="A262" t="s">
        <v>429</v>
      </c>
      <c r="B262" s="3">
        <v>46198</v>
      </c>
      <c r="C262" t="s">
        <v>147</v>
      </c>
      <c r="D262" t="s">
        <v>37</v>
      </c>
      <c r="E262" t="s">
        <v>46</v>
      </c>
      <c r="F262" t="s">
        <v>24</v>
      </c>
      <c r="G262">
        <v>1</v>
      </c>
      <c r="H262" s="4">
        <v>1.79</v>
      </c>
      <c r="I262" t="s">
        <v>19</v>
      </c>
      <c r="J262">
        <v>35</v>
      </c>
      <c r="K262">
        <v>0</v>
      </c>
      <c r="L262">
        <v>4</v>
      </c>
      <c r="M262" s="5">
        <v>4</v>
      </c>
      <c r="N262" s="4">
        <f t="shared" si="4"/>
        <v>1.79</v>
      </c>
      <c r="O262">
        <f>HOUR(TIMEVALUE(RetailTransactions[[#This Row],[Time]]))</f>
        <v>14</v>
      </c>
    </row>
    <row r="263" spans="1:15">
      <c r="A263" t="s">
        <v>430</v>
      </c>
      <c r="B263" s="3">
        <v>46206</v>
      </c>
      <c r="C263" t="s">
        <v>95</v>
      </c>
      <c r="D263" t="s">
        <v>72</v>
      </c>
      <c r="E263" t="s">
        <v>78</v>
      </c>
      <c r="F263" t="s">
        <v>39</v>
      </c>
      <c r="G263">
        <v>2</v>
      </c>
      <c r="H263" s="4">
        <v>1.55</v>
      </c>
      <c r="I263" t="s">
        <v>19</v>
      </c>
      <c r="J263">
        <v>38</v>
      </c>
      <c r="K263">
        <v>0</v>
      </c>
      <c r="L263">
        <v>7</v>
      </c>
      <c r="M263" s="5">
        <v>1.6</v>
      </c>
      <c r="N263" s="4">
        <f t="shared" si="4"/>
        <v>3.1</v>
      </c>
      <c r="O263">
        <f>HOUR(TIMEVALUE(RetailTransactions[[#This Row],[Time]]))</f>
        <v>16</v>
      </c>
    </row>
    <row r="264" spans="1:15">
      <c r="A264" t="s">
        <v>431</v>
      </c>
      <c r="B264" s="3">
        <v>46216</v>
      </c>
      <c r="C264" t="s">
        <v>117</v>
      </c>
      <c r="D264" t="s">
        <v>33</v>
      </c>
      <c r="E264" t="s">
        <v>106</v>
      </c>
      <c r="F264" t="s">
        <v>18</v>
      </c>
      <c r="G264">
        <v>2</v>
      </c>
      <c r="H264" s="4">
        <v>1.61</v>
      </c>
      <c r="I264" t="s">
        <v>30</v>
      </c>
      <c r="J264">
        <v>29</v>
      </c>
      <c r="K264">
        <v>0</v>
      </c>
      <c r="L264">
        <v>7</v>
      </c>
      <c r="M264" s="5">
        <v>6.4</v>
      </c>
      <c r="N264" s="4">
        <f t="shared" si="4"/>
        <v>3.22</v>
      </c>
      <c r="O264">
        <f>HOUR(TIMEVALUE(RetailTransactions[[#This Row],[Time]]))</f>
        <v>18</v>
      </c>
    </row>
    <row r="265" spans="1:15">
      <c r="A265" t="s">
        <v>432</v>
      </c>
      <c r="B265" s="3">
        <v>46255</v>
      </c>
      <c r="C265" t="s">
        <v>433</v>
      </c>
      <c r="D265" t="s">
        <v>72</v>
      </c>
      <c r="E265" t="s">
        <v>63</v>
      </c>
      <c r="F265" t="s">
        <v>50</v>
      </c>
      <c r="G265">
        <v>3</v>
      </c>
      <c r="H265" s="4">
        <v>3.49</v>
      </c>
      <c r="I265" t="s">
        <v>19</v>
      </c>
      <c r="J265">
        <v>16</v>
      </c>
      <c r="K265">
        <v>0</v>
      </c>
      <c r="L265">
        <v>5</v>
      </c>
      <c r="M265" s="5">
        <v>3</v>
      </c>
      <c r="N265" s="4">
        <f t="shared" si="4"/>
        <v>10.47</v>
      </c>
      <c r="O265">
        <f>HOUR(TIMEVALUE(RetailTransactions[[#This Row],[Time]]))</f>
        <v>20</v>
      </c>
    </row>
    <row r="266" spans="1:15">
      <c r="A266" t="s">
        <v>434</v>
      </c>
      <c r="B266" s="3">
        <v>46190</v>
      </c>
      <c r="C266" t="s">
        <v>244</v>
      </c>
      <c r="D266" t="s">
        <v>16</v>
      </c>
      <c r="E266" t="s">
        <v>63</v>
      </c>
      <c r="F266" t="s">
        <v>50</v>
      </c>
      <c r="G266">
        <v>1</v>
      </c>
      <c r="H266" s="4">
        <v>2.97</v>
      </c>
      <c r="I266" t="s">
        <v>30</v>
      </c>
      <c r="J266">
        <v>46</v>
      </c>
      <c r="K266">
        <v>0</v>
      </c>
      <c r="L266">
        <v>4</v>
      </c>
      <c r="M266" s="5">
        <v>3.2</v>
      </c>
      <c r="N266" s="4">
        <f t="shared" si="4"/>
        <v>2.97</v>
      </c>
      <c r="O266">
        <f>HOUR(TIMEVALUE(RetailTransactions[[#This Row],[Time]]))</f>
        <v>14</v>
      </c>
    </row>
    <row r="267" spans="1:15">
      <c r="A267" t="s">
        <v>435</v>
      </c>
      <c r="B267" s="3">
        <v>46229</v>
      </c>
      <c r="C267" t="s">
        <v>147</v>
      </c>
      <c r="D267" t="s">
        <v>27</v>
      </c>
      <c r="E267" t="s">
        <v>69</v>
      </c>
      <c r="F267" t="s">
        <v>43</v>
      </c>
      <c r="G267">
        <v>1</v>
      </c>
      <c r="H267" s="4">
        <v>1.99</v>
      </c>
      <c r="I267" t="s">
        <v>19</v>
      </c>
      <c r="J267">
        <v>54</v>
      </c>
      <c r="K267">
        <v>0</v>
      </c>
      <c r="L267">
        <v>6</v>
      </c>
      <c r="M267" s="5">
        <v>2.2000000000000002</v>
      </c>
      <c r="N267" s="4">
        <f t="shared" si="4"/>
        <v>1.99</v>
      </c>
      <c r="O267">
        <f>HOUR(TIMEVALUE(RetailTransactions[[#This Row],[Time]]))</f>
        <v>14</v>
      </c>
    </row>
    <row r="268" spans="1:15">
      <c r="A268" t="s">
        <v>436</v>
      </c>
      <c r="B268" s="3">
        <v>46191</v>
      </c>
      <c r="C268" t="s">
        <v>21</v>
      </c>
      <c r="D268" t="s">
        <v>37</v>
      </c>
      <c r="E268" t="s">
        <v>28</v>
      </c>
      <c r="F268" t="s">
        <v>29</v>
      </c>
      <c r="G268">
        <v>2</v>
      </c>
      <c r="H268" s="4">
        <v>2.8</v>
      </c>
      <c r="I268" t="s">
        <v>30</v>
      </c>
      <c r="J268">
        <v>11</v>
      </c>
      <c r="K268">
        <v>0</v>
      </c>
      <c r="L268">
        <v>6</v>
      </c>
      <c r="M268" s="5">
        <v>2.1</v>
      </c>
      <c r="N268" s="4">
        <f t="shared" si="4"/>
        <v>5.6</v>
      </c>
      <c r="O268">
        <f>HOUR(TIMEVALUE(RetailTransactions[[#This Row],[Time]]))</f>
        <v>16</v>
      </c>
    </row>
    <row r="269" spans="1:15">
      <c r="A269" t="s">
        <v>437</v>
      </c>
      <c r="B269" s="3">
        <v>46201</v>
      </c>
      <c r="C269" t="s">
        <v>41</v>
      </c>
      <c r="D269" t="s">
        <v>27</v>
      </c>
      <c r="E269" t="s">
        <v>63</v>
      </c>
      <c r="F269" t="s">
        <v>50</v>
      </c>
      <c r="G269">
        <v>4</v>
      </c>
      <c r="H269" s="4">
        <v>3.49</v>
      </c>
      <c r="I269" t="s">
        <v>19</v>
      </c>
      <c r="J269">
        <v>49</v>
      </c>
      <c r="K269">
        <v>0</v>
      </c>
      <c r="L269">
        <v>6</v>
      </c>
      <c r="M269" s="5">
        <v>2.2999999999999998</v>
      </c>
      <c r="N269" s="4">
        <f t="shared" si="4"/>
        <v>13.96</v>
      </c>
      <c r="O269">
        <f>HOUR(TIMEVALUE(RetailTransactions[[#This Row],[Time]]))</f>
        <v>15</v>
      </c>
    </row>
    <row r="270" spans="1:15">
      <c r="A270" t="s">
        <v>438</v>
      </c>
      <c r="B270" s="3">
        <v>46258</v>
      </c>
      <c r="C270" t="s">
        <v>433</v>
      </c>
      <c r="D270" t="s">
        <v>33</v>
      </c>
      <c r="E270" t="s">
        <v>63</v>
      </c>
      <c r="F270" t="s">
        <v>50</v>
      </c>
      <c r="G270">
        <v>3</v>
      </c>
      <c r="H270" s="4">
        <v>3.49</v>
      </c>
      <c r="I270" t="s">
        <v>19</v>
      </c>
      <c r="J270">
        <v>51</v>
      </c>
      <c r="K270">
        <v>0</v>
      </c>
      <c r="L270">
        <v>7</v>
      </c>
      <c r="M270" s="5">
        <v>2.9</v>
      </c>
      <c r="N270" s="4">
        <f t="shared" si="4"/>
        <v>10.47</v>
      </c>
      <c r="O270">
        <f>HOUR(TIMEVALUE(RetailTransactions[[#This Row],[Time]]))</f>
        <v>20</v>
      </c>
    </row>
    <row r="271" spans="1:15">
      <c r="A271" t="s">
        <v>439</v>
      </c>
      <c r="B271" s="3">
        <v>46256</v>
      </c>
      <c r="C271" t="s">
        <v>440</v>
      </c>
      <c r="D271" t="s">
        <v>66</v>
      </c>
      <c r="E271" t="s">
        <v>125</v>
      </c>
      <c r="F271" t="s">
        <v>39</v>
      </c>
      <c r="G271">
        <v>2</v>
      </c>
      <c r="H271" s="4">
        <v>1.85</v>
      </c>
      <c r="I271" t="s">
        <v>19</v>
      </c>
      <c r="J271">
        <v>47</v>
      </c>
      <c r="K271">
        <v>0</v>
      </c>
      <c r="L271">
        <v>7</v>
      </c>
      <c r="M271" s="5">
        <v>1.4</v>
      </c>
      <c r="N271" s="4">
        <f t="shared" si="4"/>
        <v>3.7</v>
      </c>
      <c r="O271">
        <f>HOUR(TIMEVALUE(RetailTransactions[[#This Row],[Time]]))</f>
        <v>20</v>
      </c>
    </row>
    <row r="272" spans="1:15">
      <c r="A272" t="s">
        <v>441</v>
      </c>
      <c r="B272" s="3">
        <v>46179</v>
      </c>
      <c r="C272" t="s">
        <v>77</v>
      </c>
      <c r="D272" t="s">
        <v>66</v>
      </c>
      <c r="E272" t="s">
        <v>106</v>
      </c>
      <c r="F272" t="s">
        <v>18</v>
      </c>
      <c r="G272">
        <v>2</v>
      </c>
      <c r="H272" s="4">
        <v>1.89</v>
      </c>
      <c r="I272" t="s">
        <v>19</v>
      </c>
      <c r="J272">
        <v>5</v>
      </c>
      <c r="K272">
        <v>0</v>
      </c>
      <c r="L272">
        <v>7</v>
      </c>
      <c r="M272" s="5">
        <v>6</v>
      </c>
      <c r="N272" s="4">
        <f t="shared" si="4"/>
        <v>3.78</v>
      </c>
      <c r="O272">
        <f>HOUR(TIMEVALUE(RetailTransactions[[#This Row],[Time]]))</f>
        <v>12</v>
      </c>
    </row>
    <row r="273" spans="1:15">
      <c r="A273" t="s">
        <v>442</v>
      </c>
      <c r="B273" s="3">
        <v>46205</v>
      </c>
      <c r="C273" t="s">
        <v>443</v>
      </c>
      <c r="D273" t="s">
        <v>37</v>
      </c>
      <c r="E273" t="s">
        <v>85</v>
      </c>
      <c r="F273" t="s">
        <v>18</v>
      </c>
      <c r="G273">
        <v>2</v>
      </c>
      <c r="H273" s="4">
        <v>2.4900000000000002</v>
      </c>
      <c r="I273" t="s">
        <v>19</v>
      </c>
      <c r="J273">
        <v>5</v>
      </c>
      <c r="K273">
        <v>0</v>
      </c>
      <c r="L273">
        <v>8</v>
      </c>
      <c r="M273" s="5">
        <v>4.5999999999999996</v>
      </c>
      <c r="N273" s="4">
        <f t="shared" si="4"/>
        <v>4.9800000000000004</v>
      </c>
      <c r="O273">
        <f>HOUR(TIMEVALUE(RetailTransactions[[#This Row],[Time]]))</f>
        <v>17</v>
      </c>
    </row>
    <row r="274" spans="1:15">
      <c r="A274" t="s">
        <v>444</v>
      </c>
      <c r="B274" s="3">
        <v>46215</v>
      </c>
      <c r="C274" t="s">
        <v>445</v>
      </c>
      <c r="D274" t="s">
        <v>27</v>
      </c>
      <c r="E274" t="s">
        <v>115</v>
      </c>
      <c r="F274" t="s">
        <v>29</v>
      </c>
      <c r="G274">
        <v>3</v>
      </c>
      <c r="H274" s="4">
        <v>3.99</v>
      </c>
      <c r="I274" t="s">
        <v>19</v>
      </c>
      <c r="J274">
        <v>42</v>
      </c>
      <c r="K274">
        <v>0</v>
      </c>
      <c r="L274">
        <v>4</v>
      </c>
      <c r="M274" s="5">
        <v>4.0999999999999996</v>
      </c>
      <c r="N274" s="4">
        <f t="shared" si="4"/>
        <v>11.97</v>
      </c>
      <c r="O274">
        <f>HOUR(TIMEVALUE(RetailTransactions[[#This Row],[Time]]))</f>
        <v>15</v>
      </c>
    </row>
    <row r="275" spans="1:15">
      <c r="A275" t="s">
        <v>446</v>
      </c>
      <c r="B275" s="3">
        <v>46219</v>
      </c>
      <c r="C275" t="s">
        <v>447</v>
      </c>
      <c r="D275" t="s">
        <v>37</v>
      </c>
      <c r="E275" t="s">
        <v>23</v>
      </c>
      <c r="F275" t="s">
        <v>24</v>
      </c>
      <c r="G275">
        <v>2</v>
      </c>
      <c r="H275" s="4">
        <v>0.95</v>
      </c>
      <c r="I275" t="s">
        <v>19</v>
      </c>
      <c r="J275">
        <v>41</v>
      </c>
      <c r="K275">
        <v>1</v>
      </c>
      <c r="L275">
        <v>4</v>
      </c>
      <c r="M275" s="5">
        <v>4.3</v>
      </c>
      <c r="N275" s="4">
        <f t="shared" si="4"/>
        <v>1.9</v>
      </c>
      <c r="O275">
        <f>HOUR(TIMEVALUE(RetailTransactions[[#This Row],[Time]]))</f>
        <v>11</v>
      </c>
    </row>
    <row r="276" spans="1:15">
      <c r="A276" t="s">
        <v>448</v>
      </c>
      <c r="B276" s="3">
        <v>46190</v>
      </c>
      <c r="C276" t="s">
        <v>59</v>
      </c>
      <c r="D276" t="s">
        <v>16</v>
      </c>
      <c r="E276" t="s">
        <v>120</v>
      </c>
      <c r="F276" t="s">
        <v>50</v>
      </c>
      <c r="G276">
        <v>1</v>
      </c>
      <c r="H276" s="4">
        <v>2.25</v>
      </c>
      <c r="I276" t="s">
        <v>19</v>
      </c>
      <c r="J276">
        <v>53</v>
      </c>
      <c r="K276">
        <v>0</v>
      </c>
      <c r="L276">
        <v>6</v>
      </c>
      <c r="M276" s="5">
        <v>6.3</v>
      </c>
      <c r="N276" s="4">
        <f t="shared" si="4"/>
        <v>2.25</v>
      </c>
      <c r="O276">
        <f>HOUR(TIMEVALUE(RetailTransactions[[#This Row],[Time]]))</f>
        <v>12</v>
      </c>
    </row>
    <row r="277" spans="1:15">
      <c r="A277" t="s">
        <v>449</v>
      </c>
      <c r="B277" s="3">
        <v>46210</v>
      </c>
      <c r="C277" t="s">
        <v>87</v>
      </c>
      <c r="D277" t="s">
        <v>22</v>
      </c>
      <c r="E277" t="s">
        <v>85</v>
      </c>
      <c r="F277" t="s">
        <v>18</v>
      </c>
      <c r="G277">
        <v>1</v>
      </c>
      <c r="H277" s="4">
        <v>2.4900000000000002</v>
      </c>
      <c r="I277" t="s">
        <v>19</v>
      </c>
      <c r="J277">
        <v>39</v>
      </c>
      <c r="K277">
        <v>0</v>
      </c>
      <c r="L277">
        <v>6</v>
      </c>
      <c r="M277" s="5">
        <v>6.5</v>
      </c>
      <c r="N277" s="4">
        <f t="shared" si="4"/>
        <v>2.4900000000000002</v>
      </c>
      <c r="O277">
        <f>HOUR(TIMEVALUE(RetailTransactions[[#This Row],[Time]]))</f>
        <v>19</v>
      </c>
    </row>
    <row r="278" spans="1:15">
      <c r="A278" t="s">
        <v>450</v>
      </c>
      <c r="B278" s="3">
        <v>46191</v>
      </c>
      <c r="C278" t="s">
        <v>89</v>
      </c>
      <c r="D278" t="s">
        <v>37</v>
      </c>
      <c r="E278" t="s">
        <v>115</v>
      </c>
      <c r="F278" t="s">
        <v>29</v>
      </c>
      <c r="G278">
        <v>3</v>
      </c>
      <c r="H278" s="4">
        <v>3.99</v>
      </c>
      <c r="I278" t="s">
        <v>19</v>
      </c>
      <c r="J278">
        <v>58</v>
      </c>
      <c r="K278">
        <v>0</v>
      </c>
      <c r="L278">
        <v>7</v>
      </c>
      <c r="M278" s="5">
        <v>2.2000000000000002</v>
      </c>
      <c r="N278" s="4">
        <f t="shared" si="4"/>
        <v>11.97</v>
      </c>
      <c r="O278">
        <f>HOUR(TIMEVALUE(RetailTransactions[[#This Row],[Time]]))</f>
        <v>14</v>
      </c>
    </row>
    <row r="279" spans="1:15">
      <c r="A279" t="s">
        <v>451</v>
      </c>
      <c r="B279" s="3">
        <v>46182</v>
      </c>
      <c r="C279" t="s">
        <v>258</v>
      </c>
      <c r="D279" t="s">
        <v>22</v>
      </c>
      <c r="E279" t="s">
        <v>57</v>
      </c>
      <c r="F279" t="s">
        <v>43</v>
      </c>
      <c r="G279">
        <v>3</v>
      </c>
      <c r="H279" s="4">
        <v>1.69</v>
      </c>
      <c r="I279" t="s">
        <v>19</v>
      </c>
      <c r="J279">
        <v>58</v>
      </c>
      <c r="K279">
        <v>2</v>
      </c>
      <c r="L279">
        <v>5</v>
      </c>
      <c r="M279" s="5">
        <v>4.7</v>
      </c>
      <c r="N279" s="4">
        <f t="shared" si="4"/>
        <v>5.07</v>
      </c>
      <c r="O279">
        <f>HOUR(TIMEVALUE(RetailTransactions[[#This Row],[Time]]))</f>
        <v>16</v>
      </c>
    </row>
    <row r="280" spans="1:15">
      <c r="A280" t="s">
        <v>452</v>
      </c>
      <c r="B280" s="3">
        <v>46175</v>
      </c>
      <c r="C280" t="s">
        <v>215</v>
      </c>
      <c r="D280" t="s">
        <v>22</v>
      </c>
      <c r="E280" t="s">
        <v>69</v>
      </c>
      <c r="F280" t="s">
        <v>43</v>
      </c>
      <c r="G280">
        <v>1</v>
      </c>
      <c r="H280" s="4">
        <v>1.99</v>
      </c>
      <c r="I280" t="s">
        <v>19</v>
      </c>
      <c r="J280">
        <v>16</v>
      </c>
      <c r="K280">
        <v>0</v>
      </c>
      <c r="L280">
        <v>6</v>
      </c>
      <c r="M280" s="5">
        <v>5.8</v>
      </c>
      <c r="N280" s="4">
        <f t="shared" si="4"/>
        <v>1.99</v>
      </c>
      <c r="O280">
        <f>HOUR(TIMEVALUE(RetailTransactions[[#This Row],[Time]]))</f>
        <v>12</v>
      </c>
    </row>
    <row r="281" spans="1:15">
      <c r="A281" t="s">
        <v>453</v>
      </c>
      <c r="B281" s="3">
        <v>46205</v>
      </c>
      <c r="C281" t="s">
        <v>147</v>
      </c>
      <c r="D281" t="s">
        <v>37</v>
      </c>
      <c r="E281" t="s">
        <v>57</v>
      </c>
      <c r="F281" t="s">
        <v>43</v>
      </c>
      <c r="G281">
        <v>2</v>
      </c>
      <c r="H281" s="4">
        <v>1.69</v>
      </c>
      <c r="I281" t="s">
        <v>19</v>
      </c>
      <c r="J281">
        <v>50</v>
      </c>
      <c r="K281">
        <v>2</v>
      </c>
      <c r="L281">
        <v>6</v>
      </c>
      <c r="M281" s="5">
        <v>1.3</v>
      </c>
      <c r="N281" s="4">
        <f t="shared" si="4"/>
        <v>3.38</v>
      </c>
      <c r="O281">
        <f>HOUR(TIMEVALUE(RetailTransactions[[#This Row],[Time]]))</f>
        <v>14</v>
      </c>
    </row>
    <row r="282" spans="1:15">
      <c r="A282" t="s">
        <v>454</v>
      </c>
      <c r="B282" s="3">
        <v>46204</v>
      </c>
      <c r="C282" t="s">
        <v>213</v>
      </c>
      <c r="D282" t="s">
        <v>16</v>
      </c>
      <c r="E282" t="s">
        <v>49</v>
      </c>
      <c r="F282" t="s">
        <v>50</v>
      </c>
      <c r="G282">
        <v>1</v>
      </c>
      <c r="H282" s="4">
        <v>3.36</v>
      </c>
      <c r="I282" t="s">
        <v>30</v>
      </c>
      <c r="J282">
        <v>9</v>
      </c>
      <c r="K282">
        <v>0</v>
      </c>
      <c r="L282">
        <v>6</v>
      </c>
      <c r="M282" s="5">
        <v>2</v>
      </c>
      <c r="N282" s="4">
        <f t="shared" si="4"/>
        <v>3.36</v>
      </c>
      <c r="O282">
        <f>HOUR(TIMEVALUE(RetailTransactions[[#This Row],[Time]]))</f>
        <v>8</v>
      </c>
    </row>
    <row r="283" spans="1:15">
      <c r="A283" t="s">
        <v>455</v>
      </c>
      <c r="B283" s="3">
        <v>46211</v>
      </c>
      <c r="C283" t="s">
        <v>275</v>
      </c>
      <c r="D283" t="s">
        <v>16</v>
      </c>
      <c r="E283" t="s">
        <v>17</v>
      </c>
      <c r="F283" t="s">
        <v>18</v>
      </c>
      <c r="G283">
        <v>1</v>
      </c>
      <c r="H283" s="4">
        <v>1.75</v>
      </c>
      <c r="I283" t="s">
        <v>19</v>
      </c>
      <c r="J283">
        <v>43</v>
      </c>
      <c r="K283">
        <v>0</v>
      </c>
      <c r="L283">
        <v>4</v>
      </c>
      <c r="M283" s="5">
        <v>4.0999999999999996</v>
      </c>
      <c r="N283" s="4">
        <f t="shared" si="4"/>
        <v>1.75</v>
      </c>
      <c r="O283">
        <f>HOUR(TIMEVALUE(RetailTransactions[[#This Row],[Time]]))</f>
        <v>14</v>
      </c>
    </row>
    <row r="284" spans="1:15">
      <c r="A284" t="s">
        <v>456</v>
      </c>
      <c r="B284" s="3">
        <v>46192</v>
      </c>
      <c r="C284" t="s">
        <v>147</v>
      </c>
      <c r="D284" t="s">
        <v>72</v>
      </c>
      <c r="E284" t="s">
        <v>60</v>
      </c>
      <c r="F284" t="s">
        <v>29</v>
      </c>
      <c r="G284">
        <v>1</v>
      </c>
      <c r="H284" s="4">
        <v>2.69</v>
      </c>
      <c r="I284" t="s">
        <v>19</v>
      </c>
      <c r="J284">
        <v>24</v>
      </c>
      <c r="K284">
        <v>0</v>
      </c>
      <c r="L284">
        <v>6</v>
      </c>
      <c r="M284" s="5">
        <v>1.4</v>
      </c>
      <c r="N284" s="4">
        <f t="shared" si="4"/>
        <v>2.69</v>
      </c>
      <c r="O284">
        <f>HOUR(TIMEVALUE(RetailTransactions[[#This Row],[Time]]))</f>
        <v>14</v>
      </c>
    </row>
    <row r="285" spans="1:15">
      <c r="A285" t="s">
        <v>457</v>
      </c>
      <c r="B285" s="3">
        <v>46264</v>
      </c>
      <c r="C285" t="s">
        <v>458</v>
      </c>
      <c r="D285" t="s">
        <v>27</v>
      </c>
      <c r="E285" t="s">
        <v>46</v>
      </c>
      <c r="F285" t="s">
        <v>24</v>
      </c>
      <c r="G285">
        <v>1</v>
      </c>
      <c r="H285" s="4">
        <v>1.52</v>
      </c>
      <c r="I285" t="s">
        <v>30</v>
      </c>
      <c r="J285">
        <v>10</v>
      </c>
      <c r="K285">
        <v>3</v>
      </c>
      <c r="L285">
        <v>8</v>
      </c>
      <c r="M285" s="5">
        <v>3</v>
      </c>
      <c r="N285" s="4">
        <f t="shared" si="4"/>
        <v>1.52</v>
      </c>
      <c r="O285">
        <f>HOUR(TIMEVALUE(RetailTransactions[[#This Row],[Time]]))</f>
        <v>13</v>
      </c>
    </row>
    <row r="286" spans="1:15">
      <c r="A286" t="s">
        <v>459</v>
      </c>
      <c r="B286" s="3">
        <v>46242</v>
      </c>
      <c r="C286" t="s">
        <v>460</v>
      </c>
      <c r="D286" t="s">
        <v>66</v>
      </c>
      <c r="E286" t="s">
        <v>78</v>
      </c>
      <c r="F286" t="s">
        <v>39</v>
      </c>
      <c r="G286">
        <v>1</v>
      </c>
      <c r="H286" s="4">
        <v>1.32</v>
      </c>
      <c r="I286" t="s">
        <v>30</v>
      </c>
      <c r="J286">
        <v>36</v>
      </c>
      <c r="K286">
        <v>0</v>
      </c>
      <c r="L286">
        <v>7</v>
      </c>
      <c r="M286" s="5">
        <v>4.5999999999999996</v>
      </c>
      <c r="N286" s="4">
        <f t="shared" si="4"/>
        <v>1.32</v>
      </c>
      <c r="O286">
        <f>HOUR(TIMEVALUE(RetailTransactions[[#This Row],[Time]]))</f>
        <v>18</v>
      </c>
    </row>
    <row r="287" spans="1:15">
      <c r="A287" t="s">
        <v>461</v>
      </c>
      <c r="B287" s="3">
        <v>46174</v>
      </c>
      <c r="C287" t="s">
        <v>388</v>
      </c>
      <c r="D287" t="s">
        <v>33</v>
      </c>
      <c r="E287" t="s">
        <v>46</v>
      </c>
      <c r="F287" t="s">
        <v>24</v>
      </c>
      <c r="G287">
        <v>2</v>
      </c>
      <c r="H287" s="4">
        <v>1.52</v>
      </c>
      <c r="I287" t="s">
        <v>30</v>
      </c>
      <c r="J287">
        <v>28</v>
      </c>
      <c r="K287">
        <v>0</v>
      </c>
      <c r="L287">
        <v>9</v>
      </c>
      <c r="M287" s="5">
        <v>5.5</v>
      </c>
      <c r="N287" s="4">
        <f t="shared" si="4"/>
        <v>3.04</v>
      </c>
      <c r="O287">
        <f>HOUR(TIMEVALUE(RetailTransactions[[#This Row],[Time]]))</f>
        <v>18</v>
      </c>
    </row>
    <row r="288" spans="1:15">
      <c r="A288" t="s">
        <v>462</v>
      </c>
      <c r="B288" s="3">
        <v>46175</v>
      </c>
      <c r="C288" t="s">
        <v>21</v>
      </c>
      <c r="D288" t="s">
        <v>22</v>
      </c>
      <c r="E288" t="s">
        <v>106</v>
      </c>
      <c r="F288" t="s">
        <v>18</v>
      </c>
      <c r="G288">
        <v>3</v>
      </c>
      <c r="H288" s="4">
        <v>1.89</v>
      </c>
      <c r="I288" t="s">
        <v>19</v>
      </c>
      <c r="J288">
        <v>50</v>
      </c>
      <c r="K288">
        <v>0</v>
      </c>
      <c r="L288">
        <v>4</v>
      </c>
      <c r="M288" s="5">
        <v>2</v>
      </c>
      <c r="N288" s="4">
        <f t="shared" si="4"/>
        <v>5.67</v>
      </c>
      <c r="O288">
        <f>HOUR(TIMEVALUE(RetailTransactions[[#This Row],[Time]]))</f>
        <v>16</v>
      </c>
    </row>
    <row r="289" spans="1:15">
      <c r="A289" t="s">
        <v>463</v>
      </c>
      <c r="B289" s="3">
        <v>46247</v>
      </c>
      <c r="C289" t="s">
        <v>275</v>
      </c>
      <c r="D289" t="s">
        <v>37</v>
      </c>
      <c r="E289" t="s">
        <v>69</v>
      </c>
      <c r="F289" t="s">
        <v>43</v>
      </c>
      <c r="G289">
        <v>1</v>
      </c>
      <c r="H289" s="4">
        <v>1.99</v>
      </c>
      <c r="I289" t="s">
        <v>19</v>
      </c>
      <c r="J289">
        <v>28</v>
      </c>
      <c r="K289">
        <v>2</v>
      </c>
      <c r="L289">
        <v>4</v>
      </c>
      <c r="M289" s="5">
        <v>5</v>
      </c>
      <c r="N289" s="4">
        <f t="shared" si="4"/>
        <v>1.99</v>
      </c>
      <c r="O289">
        <f>HOUR(TIMEVALUE(RetailTransactions[[#This Row],[Time]]))</f>
        <v>14</v>
      </c>
    </row>
    <row r="290" spans="1:15">
      <c r="A290" t="s">
        <v>464</v>
      </c>
      <c r="B290" s="3">
        <v>46260</v>
      </c>
      <c r="C290" t="s">
        <v>59</v>
      </c>
      <c r="D290" t="s">
        <v>16</v>
      </c>
      <c r="E290" t="s">
        <v>69</v>
      </c>
      <c r="F290" t="s">
        <v>43</v>
      </c>
      <c r="G290">
        <v>2</v>
      </c>
      <c r="H290" s="4">
        <v>1.99</v>
      </c>
      <c r="I290" t="s">
        <v>19</v>
      </c>
      <c r="J290">
        <v>38</v>
      </c>
      <c r="K290">
        <v>0</v>
      </c>
      <c r="L290">
        <v>6</v>
      </c>
      <c r="M290" s="5">
        <v>4.5</v>
      </c>
      <c r="N290" s="4">
        <f t="shared" si="4"/>
        <v>3.98</v>
      </c>
      <c r="O290">
        <f>HOUR(TIMEVALUE(RetailTransactions[[#This Row],[Time]]))</f>
        <v>12</v>
      </c>
    </row>
    <row r="291" spans="1:15">
      <c r="A291" t="s">
        <v>465</v>
      </c>
      <c r="B291" s="3">
        <v>46206</v>
      </c>
      <c r="C291" t="s">
        <v>150</v>
      </c>
      <c r="D291" t="s">
        <v>72</v>
      </c>
      <c r="E291" t="s">
        <v>42</v>
      </c>
      <c r="F291" t="s">
        <v>43</v>
      </c>
      <c r="G291">
        <v>2</v>
      </c>
      <c r="H291" s="4">
        <v>1.39</v>
      </c>
      <c r="I291" t="s">
        <v>19</v>
      </c>
      <c r="J291">
        <v>8</v>
      </c>
      <c r="K291">
        <v>1</v>
      </c>
      <c r="L291">
        <v>7</v>
      </c>
      <c r="M291" s="5">
        <v>1.5</v>
      </c>
      <c r="N291" s="4">
        <f t="shared" si="4"/>
        <v>2.78</v>
      </c>
      <c r="O291">
        <f>HOUR(TIMEVALUE(RetailTransactions[[#This Row],[Time]]))</f>
        <v>14</v>
      </c>
    </row>
    <row r="292" spans="1:15">
      <c r="A292" t="s">
        <v>466</v>
      </c>
      <c r="B292" s="3">
        <v>46206</v>
      </c>
      <c r="C292" t="s">
        <v>467</v>
      </c>
      <c r="D292" t="s">
        <v>72</v>
      </c>
      <c r="E292" t="s">
        <v>106</v>
      </c>
      <c r="F292" t="s">
        <v>18</v>
      </c>
      <c r="G292">
        <v>2</v>
      </c>
      <c r="H292" s="4">
        <v>1.61</v>
      </c>
      <c r="I292" t="s">
        <v>30</v>
      </c>
      <c r="J292">
        <v>49</v>
      </c>
      <c r="K292">
        <v>0</v>
      </c>
      <c r="L292">
        <v>9</v>
      </c>
      <c r="M292" s="5">
        <v>5</v>
      </c>
      <c r="N292" s="4">
        <f t="shared" si="4"/>
        <v>3.22</v>
      </c>
      <c r="O292">
        <f>HOUR(TIMEVALUE(RetailTransactions[[#This Row],[Time]]))</f>
        <v>12</v>
      </c>
    </row>
    <row r="293" spans="1:15">
      <c r="A293" t="s">
        <v>468</v>
      </c>
      <c r="B293" s="3">
        <v>46214</v>
      </c>
      <c r="C293" t="s">
        <v>170</v>
      </c>
      <c r="D293" t="s">
        <v>66</v>
      </c>
      <c r="E293" t="s">
        <v>17</v>
      </c>
      <c r="F293" t="s">
        <v>18</v>
      </c>
      <c r="G293">
        <v>3</v>
      </c>
      <c r="H293" s="4">
        <v>1.75</v>
      </c>
      <c r="I293" t="s">
        <v>19</v>
      </c>
      <c r="J293">
        <v>30</v>
      </c>
      <c r="K293">
        <v>1</v>
      </c>
      <c r="L293">
        <v>8</v>
      </c>
      <c r="M293" s="5">
        <v>5.4</v>
      </c>
      <c r="N293" s="4">
        <f t="shared" si="4"/>
        <v>5.25</v>
      </c>
      <c r="O293">
        <f>HOUR(TIMEVALUE(RetailTransactions[[#This Row],[Time]]))</f>
        <v>13</v>
      </c>
    </row>
    <row r="294" spans="1:15">
      <c r="A294" t="s">
        <v>469</v>
      </c>
      <c r="B294" s="3">
        <v>46196</v>
      </c>
      <c r="C294" t="s">
        <v>443</v>
      </c>
      <c r="D294" t="s">
        <v>22</v>
      </c>
      <c r="E294" t="s">
        <v>38</v>
      </c>
      <c r="F294" t="s">
        <v>39</v>
      </c>
      <c r="G294">
        <v>1</v>
      </c>
      <c r="H294" s="4">
        <v>2.79</v>
      </c>
      <c r="I294" t="s">
        <v>19</v>
      </c>
      <c r="J294">
        <v>8</v>
      </c>
      <c r="K294">
        <v>0</v>
      </c>
      <c r="L294">
        <v>7</v>
      </c>
      <c r="M294" s="5">
        <v>5.7</v>
      </c>
      <c r="N294" s="4">
        <f t="shared" si="4"/>
        <v>2.79</v>
      </c>
      <c r="O294">
        <f>HOUR(TIMEVALUE(RetailTransactions[[#This Row],[Time]]))</f>
        <v>17</v>
      </c>
    </row>
    <row r="295" spans="1:15">
      <c r="A295" t="s">
        <v>470</v>
      </c>
      <c r="B295" s="3">
        <v>46174</v>
      </c>
      <c r="C295" t="s">
        <v>45</v>
      </c>
      <c r="D295" t="s">
        <v>33</v>
      </c>
      <c r="E295" t="s">
        <v>85</v>
      </c>
      <c r="F295" t="s">
        <v>18</v>
      </c>
      <c r="G295">
        <v>1</v>
      </c>
      <c r="H295" s="4">
        <v>2.12</v>
      </c>
      <c r="I295" t="s">
        <v>30</v>
      </c>
      <c r="J295">
        <v>50</v>
      </c>
      <c r="K295">
        <v>0</v>
      </c>
      <c r="L295">
        <v>7</v>
      </c>
      <c r="M295" s="5">
        <v>4.8</v>
      </c>
      <c r="N295" s="4">
        <f t="shared" si="4"/>
        <v>2.12</v>
      </c>
      <c r="O295">
        <f>HOUR(TIMEVALUE(RetailTransactions[[#This Row],[Time]]))</f>
        <v>13</v>
      </c>
    </row>
    <row r="296" spans="1:15">
      <c r="A296" t="s">
        <v>471</v>
      </c>
      <c r="B296" s="3">
        <v>46179</v>
      </c>
      <c r="C296" t="s">
        <v>329</v>
      </c>
      <c r="D296" t="s">
        <v>66</v>
      </c>
      <c r="E296" t="s">
        <v>46</v>
      </c>
      <c r="F296" t="s">
        <v>24</v>
      </c>
      <c r="G296">
        <v>1</v>
      </c>
      <c r="H296" s="4">
        <v>1.79</v>
      </c>
      <c r="I296" t="s">
        <v>19</v>
      </c>
      <c r="J296">
        <v>18</v>
      </c>
      <c r="K296">
        <v>0</v>
      </c>
      <c r="L296">
        <v>5</v>
      </c>
      <c r="M296" s="5">
        <v>2.8</v>
      </c>
      <c r="N296" s="4">
        <f t="shared" si="4"/>
        <v>1.79</v>
      </c>
      <c r="O296">
        <f>HOUR(TIMEVALUE(RetailTransactions[[#This Row],[Time]]))</f>
        <v>10</v>
      </c>
    </row>
    <row r="297" spans="1:15">
      <c r="A297" t="s">
        <v>472</v>
      </c>
      <c r="B297" s="3">
        <v>46234</v>
      </c>
      <c r="C297" t="s">
        <v>21</v>
      </c>
      <c r="D297" t="s">
        <v>72</v>
      </c>
      <c r="E297" t="s">
        <v>17</v>
      </c>
      <c r="F297" t="s">
        <v>18</v>
      </c>
      <c r="G297">
        <v>2</v>
      </c>
      <c r="H297" s="4">
        <v>1.75</v>
      </c>
      <c r="I297" t="s">
        <v>19</v>
      </c>
      <c r="J297">
        <v>45</v>
      </c>
      <c r="K297">
        <v>0</v>
      </c>
      <c r="L297">
        <v>5</v>
      </c>
      <c r="M297" s="5">
        <v>3.3</v>
      </c>
      <c r="N297" s="4">
        <f t="shared" si="4"/>
        <v>3.5</v>
      </c>
      <c r="O297">
        <f>HOUR(TIMEVALUE(RetailTransactions[[#This Row],[Time]]))</f>
        <v>16</v>
      </c>
    </row>
    <row r="298" spans="1:15">
      <c r="A298" t="s">
        <v>473</v>
      </c>
      <c r="B298" s="3">
        <v>46189</v>
      </c>
      <c r="C298" t="s">
        <v>161</v>
      </c>
      <c r="D298" t="s">
        <v>22</v>
      </c>
      <c r="E298" t="s">
        <v>85</v>
      </c>
      <c r="F298" t="s">
        <v>18</v>
      </c>
      <c r="G298">
        <v>2</v>
      </c>
      <c r="H298" s="4">
        <v>2.4900000000000002</v>
      </c>
      <c r="I298" t="s">
        <v>19</v>
      </c>
      <c r="J298">
        <v>22</v>
      </c>
      <c r="K298">
        <v>0</v>
      </c>
      <c r="L298">
        <v>7</v>
      </c>
      <c r="M298" s="5">
        <v>5.3</v>
      </c>
      <c r="N298" s="4">
        <f t="shared" si="4"/>
        <v>4.9800000000000004</v>
      </c>
      <c r="O298">
        <f>HOUR(TIMEVALUE(RetailTransactions[[#This Row],[Time]]))</f>
        <v>19</v>
      </c>
    </row>
    <row r="299" spans="1:15">
      <c r="A299" t="s">
        <v>474</v>
      </c>
      <c r="B299" s="3">
        <v>46185</v>
      </c>
      <c r="C299" t="s">
        <v>362</v>
      </c>
      <c r="D299" t="s">
        <v>72</v>
      </c>
      <c r="E299" t="s">
        <v>106</v>
      </c>
      <c r="F299" t="s">
        <v>18</v>
      </c>
      <c r="G299">
        <v>2</v>
      </c>
      <c r="H299" s="4">
        <v>1.89</v>
      </c>
      <c r="I299" t="s">
        <v>19</v>
      </c>
      <c r="J299">
        <v>57</v>
      </c>
      <c r="K299">
        <v>0</v>
      </c>
      <c r="L299">
        <v>9</v>
      </c>
      <c r="M299" s="5">
        <v>2.9</v>
      </c>
      <c r="N299" s="4">
        <f t="shared" si="4"/>
        <v>3.78</v>
      </c>
      <c r="O299">
        <f>HOUR(TIMEVALUE(RetailTransactions[[#This Row],[Time]]))</f>
        <v>17</v>
      </c>
    </row>
    <row r="300" spans="1:15">
      <c r="A300" t="s">
        <v>475</v>
      </c>
      <c r="B300" s="3">
        <v>46225</v>
      </c>
      <c r="C300" t="s">
        <v>307</v>
      </c>
      <c r="D300" t="s">
        <v>16</v>
      </c>
      <c r="E300" t="s">
        <v>85</v>
      </c>
      <c r="F300" t="s">
        <v>18</v>
      </c>
      <c r="G300">
        <v>1</v>
      </c>
      <c r="H300" s="4">
        <v>2.4900000000000002</v>
      </c>
      <c r="I300" t="s">
        <v>19</v>
      </c>
      <c r="J300">
        <v>35</v>
      </c>
      <c r="K300">
        <v>0</v>
      </c>
      <c r="L300">
        <v>9</v>
      </c>
      <c r="M300" s="5">
        <v>3.4</v>
      </c>
      <c r="N300" s="4">
        <f t="shared" si="4"/>
        <v>2.4900000000000002</v>
      </c>
      <c r="O300">
        <f>HOUR(TIMEVALUE(RetailTransactions[[#This Row],[Time]]))</f>
        <v>19</v>
      </c>
    </row>
    <row r="301" spans="1:15">
      <c r="A301" t="s">
        <v>476</v>
      </c>
      <c r="B301" s="3">
        <v>46199</v>
      </c>
      <c r="C301" t="s">
        <v>300</v>
      </c>
      <c r="D301" t="s">
        <v>72</v>
      </c>
      <c r="E301" t="s">
        <v>120</v>
      </c>
      <c r="F301" t="s">
        <v>50</v>
      </c>
      <c r="G301">
        <v>1</v>
      </c>
      <c r="H301" s="4">
        <v>2.25</v>
      </c>
      <c r="I301" t="s">
        <v>19</v>
      </c>
      <c r="J301">
        <v>39</v>
      </c>
      <c r="K301">
        <v>0</v>
      </c>
      <c r="L301">
        <v>7</v>
      </c>
      <c r="M301" s="5">
        <v>4.9000000000000004</v>
      </c>
      <c r="N301" s="4">
        <f t="shared" si="4"/>
        <v>2.25</v>
      </c>
      <c r="O301">
        <f>HOUR(TIMEVALUE(RetailTransactions[[#This Row],[Time]]))</f>
        <v>18</v>
      </c>
    </row>
    <row r="302" spans="1:15">
      <c r="A302" t="s">
        <v>477</v>
      </c>
      <c r="B302" s="3">
        <v>46245</v>
      </c>
      <c r="C302" t="s">
        <v>142</v>
      </c>
      <c r="D302" t="s">
        <v>22</v>
      </c>
      <c r="E302" t="s">
        <v>125</v>
      </c>
      <c r="F302" t="s">
        <v>39</v>
      </c>
      <c r="G302">
        <v>1</v>
      </c>
      <c r="H302" s="4">
        <v>1.85</v>
      </c>
      <c r="I302" t="s">
        <v>19</v>
      </c>
      <c r="J302">
        <v>58</v>
      </c>
      <c r="K302">
        <v>0</v>
      </c>
      <c r="L302">
        <v>7</v>
      </c>
      <c r="M302" s="5">
        <v>6.5</v>
      </c>
      <c r="N302" s="4">
        <f t="shared" si="4"/>
        <v>1.85</v>
      </c>
      <c r="O302">
        <f>HOUR(TIMEVALUE(RetailTransactions[[#This Row],[Time]]))</f>
        <v>18</v>
      </c>
    </row>
    <row r="303" spans="1:15">
      <c r="A303" t="s">
        <v>478</v>
      </c>
      <c r="B303" s="3">
        <v>46208</v>
      </c>
      <c r="C303" t="s">
        <v>479</v>
      </c>
      <c r="D303" t="s">
        <v>27</v>
      </c>
      <c r="E303" t="s">
        <v>125</v>
      </c>
      <c r="F303" t="s">
        <v>39</v>
      </c>
      <c r="G303">
        <v>1</v>
      </c>
      <c r="H303" s="4">
        <v>1.57</v>
      </c>
      <c r="I303" t="s">
        <v>30</v>
      </c>
      <c r="J303">
        <v>55</v>
      </c>
      <c r="K303">
        <v>0</v>
      </c>
      <c r="L303">
        <v>6</v>
      </c>
      <c r="M303" s="5">
        <v>1.4</v>
      </c>
      <c r="N303" s="4">
        <f t="shared" si="4"/>
        <v>1.57</v>
      </c>
      <c r="O303">
        <f>HOUR(TIMEVALUE(RetailTransactions[[#This Row],[Time]]))</f>
        <v>20</v>
      </c>
    </row>
    <row r="304" spans="1:15">
      <c r="A304" t="s">
        <v>480</v>
      </c>
      <c r="B304" s="3">
        <v>46180</v>
      </c>
      <c r="C304" t="s">
        <v>275</v>
      </c>
      <c r="D304" t="s">
        <v>27</v>
      </c>
      <c r="E304" t="s">
        <v>78</v>
      </c>
      <c r="F304" t="s">
        <v>39</v>
      </c>
      <c r="G304">
        <v>2</v>
      </c>
      <c r="H304" s="4">
        <v>1.55</v>
      </c>
      <c r="I304" t="s">
        <v>19</v>
      </c>
      <c r="J304">
        <v>35</v>
      </c>
      <c r="K304">
        <v>0</v>
      </c>
      <c r="L304">
        <v>5</v>
      </c>
      <c r="M304" s="5">
        <v>4.4000000000000004</v>
      </c>
      <c r="N304" s="4">
        <f t="shared" si="4"/>
        <v>3.1</v>
      </c>
      <c r="O304">
        <f>HOUR(TIMEVALUE(RetailTransactions[[#This Row],[Time]]))</f>
        <v>14</v>
      </c>
    </row>
    <row r="305" spans="1:15">
      <c r="A305" t="s">
        <v>481</v>
      </c>
      <c r="B305" s="3">
        <v>46191</v>
      </c>
      <c r="C305" t="s">
        <v>93</v>
      </c>
      <c r="D305" t="s">
        <v>37</v>
      </c>
      <c r="E305" t="s">
        <v>46</v>
      </c>
      <c r="F305" t="s">
        <v>24</v>
      </c>
      <c r="G305">
        <v>2</v>
      </c>
      <c r="H305" s="4">
        <v>1.52</v>
      </c>
      <c r="I305" t="s">
        <v>30</v>
      </c>
      <c r="J305">
        <v>36</v>
      </c>
      <c r="K305">
        <v>0</v>
      </c>
      <c r="L305">
        <v>8</v>
      </c>
      <c r="M305" s="5">
        <v>5.5</v>
      </c>
      <c r="N305" s="4">
        <f t="shared" si="4"/>
        <v>3.04</v>
      </c>
      <c r="O305">
        <f>HOUR(TIMEVALUE(RetailTransactions[[#This Row],[Time]]))</f>
        <v>12</v>
      </c>
    </row>
    <row r="306" spans="1:15">
      <c r="A306" t="s">
        <v>482</v>
      </c>
      <c r="B306" s="3">
        <v>46193</v>
      </c>
      <c r="C306" t="s">
        <v>335</v>
      </c>
      <c r="D306" t="s">
        <v>66</v>
      </c>
      <c r="E306" t="s">
        <v>17</v>
      </c>
      <c r="F306" t="s">
        <v>18</v>
      </c>
      <c r="G306">
        <v>1</v>
      </c>
      <c r="H306" s="4">
        <v>1.75</v>
      </c>
      <c r="I306" t="s">
        <v>19</v>
      </c>
      <c r="J306">
        <v>41</v>
      </c>
      <c r="K306">
        <v>0</v>
      </c>
      <c r="L306">
        <v>6</v>
      </c>
      <c r="M306" s="5">
        <v>5.0999999999999996</v>
      </c>
      <c r="N306" s="4">
        <f t="shared" si="4"/>
        <v>1.75</v>
      </c>
      <c r="O306">
        <f>HOUR(TIMEVALUE(RetailTransactions[[#This Row],[Time]]))</f>
        <v>18</v>
      </c>
    </row>
    <row r="307" spans="1:15">
      <c r="A307" t="s">
        <v>483</v>
      </c>
      <c r="B307" s="3">
        <v>46221</v>
      </c>
      <c r="C307" t="s">
        <v>68</v>
      </c>
      <c r="D307" t="s">
        <v>66</v>
      </c>
      <c r="E307" t="s">
        <v>60</v>
      </c>
      <c r="F307" t="s">
        <v>29</v>
      </c>
      <c r="G307">
        <v>1</v>
      </c>
      <c r="H307" s="4">
        <v>2.29</v>
      </c>
      <c r="I307" t="s">
        <v>30</v>
      </c>
      <c r="J307">
        <v>31</v>
      </c>
      <c r="K307">
        <v>0</v>
      </c>
      <c r="L307">
        <v>5</v>
      </c>
      <c r="M307" s="5">
        <v>4</v>
      </c>
      <c r="N307" s="4">
        <f t="shared" si="4"/>
        <v>2.29</v>
      </c>
      <c r="O307">
        <f>HOUR(TIMEVALUE(RetailTransactions[[#This Row],[Time]]))</f>
        <v>16</v>
      </c>
    </row>
    <row r="308" spans="1:15">
      <c r="A308" t="s">
        <v>484</v>
      </c>
      <c r="B308" s="3">
        <v>46222</v>
      </c>
      <c r="C308" t="s">
        <v>485</v>
      </c>
      <c r="D308" t="s">
        <v>27</v>
      </c>
      <c r="E308" t="s">
        <v>85</v>
      </c>
      <c r="F308" t="s">
        <v>18</v>
      </c>
      <c r="G308">
        <v>1</v>
      </c>
      <c r="H308" s="4">
        <v>2.4900000000000002</v>
      </c>
      <c r="I308" t="s">
        <v>19</v>
      </c>
      <c r="J308">
        <v>23</v>
      </c>
      <c r="K308">
        <v>0</v>
      </c>
      <c r="L308">
        <v>6</v>
      </c>
      <c r="M308" s="5">
        <v>1.4</v>
      </c>
      <c r="N308" s="4">
        <f t="shared" si="4"/>
        <v>2.4900000000000002</v>
      </c>
      <c r="O308">
        <f>HOUR(TIMEVALUE(RetailTransactions[[#This Row],[Time]]))</f>
        <v>21</v>
      </c>
    </row>
    <row r="309" spans="1:15">
      <c r="A309" t="s">
        <v>486</v>
      </c>
      <c r="B309" s="3">
        <v>46255</v>
      </c>
      <c r="C309" t="s">
        <v>382</v>
      </c>
      <c r="D309" t="s">
        <v>72</v>
      </c>
      <c r="E309" t="s">
        <v>63</v>
      </c>
      <c r="F309" t="s">
        <v>50</v>
      </c>
      <c r="G309">
        <v>3</v>
      </c>
      <c r="H309" s="4">
        <v>2.97</v>
      </c>
      <c r="I309" t="s">
        <v>30</v>
      </c>
      <c r="J309">
        <v>5</v>
      </c>
      <c r="K309">
        <v>0</v>
      </c>
      <c r="L309">
        <v>7</v>
      </c>
      <c r="M309" s="5">
        <v>5.7</v>
      </c>
      <c r="N309" s="4">
        <f t="shared" si="4"/>
        <v>8.91</v>
      </c>
      <c r="O309">
        <f>HOUR(TIMEVALUE(RetailTransactions[[#This Row],[Time]]))</f>
        <v>13</v>
      </c>
    </row>
    <row r="310" spans="1:15">
      <c r="A310" t="s">
        <v>487</v>
      </c>
      <c r="B310" s="3">
        <v>46181</v>
      </c>
      <c r="C310" t="s">
        <v>59</v>
      </c>
      <c r="D310" t="s">
        <v>33</v>
      </c>
      <c r="E310" t="s">
        <v>42</v>
      </c>
      <c r="F310" t="s">
        <v>43</v>
      </c>
      <c r="G310">
        <v>2</v>
      </c>
      <c r="H310" s="4">
        <v>1.39</v>
      </c>
      <c r="I310" t="s">
        <v>19</v>
      </c>
      <c r="J310">
        <v>18</v>
      </c>
      <c r="K310">
        <v>1</v>
      </c>
      <c r="L310">
        <v>9</v>
      </c>
      <c r="M310" s="5">
        <v>5.0999999999999996</v>
      </c>
      <c r="N310" s="4">
        <f t="shared" si="4"/>
        <v>2.78</v>
      </c>
      <c r="O310">
        <f>HOUR(TIMEVALUE(RetailTransactions[[#This Row],[Time]]))</f>
        <v>12</v>
      </c>
    </row>
    <row r="311" spans="1:15">
      <c r="A311" t="s">
        <v>488</v>
      </c>
      <c r="B311" s="3">
        <v>46256</v>
      </c>
      <c r="C311" t="s">
        <v>489</v>
      </c>
      <c r="D311" t="s">
        <v>66</v>
      </c>
      <c r="E311" t="s">
        <v>85</v>
      </c>
      <c r="F311" t="s">
        <v>18</v>
      </c>
      <c r="G311">
        <v>1</v>
      </c>
      <c r="H311" s="4">
        <v>2.4900000000000002</v>
      </c>
      <c r="I311" t="s">
        <v>19</v>
      </c>
      <c r="J311">
        <v>41</v>
      </c>
      <c r="K311">
        <v>0</v>
      </c>
      <c r="L311">
        <v>6</v>
      </c>
      <c r="M311" s="5">
        <v>2.5</v>
      </c>
      <c r="N311" s="4">
        <f t="shared" si="4"/>
        <v>2.4900000000000002</v>
      </c>
      <c r="O311">
        <f>HOUR(TIMEVALUE(RetailTransactions[[#This Row],[Time]]))</f>
        <v>11</v>
      </c>
    </row>
    <row r="312" spans="1:15">
      <c r="A312" t="s">
        <v>490</v>
      </c>
      <c r="B312" s="3">
        <v>46258</v>
      </c>
      <c r="C312" t="s">
        <v>491</v>
      </c>
      <c r="D312" t="s">
        <v>33</v>
      </c>
      <c r="E312" t="s">
        <v>63</v>
      </c>
      <c r="F312" t="s">
        <v>50</v>
      </c>
      <c r="G312">
        <v>3</v>
      </c>
      <c r="H312" s="4">
        <v>3.49</v>
      </c>
      <c r="I312" t="s">
        <v>19</v>
      </c>
      <c r="J312">
        <v>37</v>
      </c>
      <c r="K312">
        <v>0</v>
      </c>
      <c r="L312">
        <v>4</v>
      </c>
      <c r="M312" s="5">
        <v>4</v>
      </c>
      <c r="N312" s="4">
        <f t="shared" si="4"/>
        <v>10.47</v>
      </c>
      <c r="O312">
        <f>HOUR(TIMEVALUE(RetailTransactions[[#This Row],[Time]]))</f>
        <v>20</v>
      </c>
    </row>
    <row r="313" spans="1:15">
      <c r="A313" t="s">
        <v>492</v>
      </c>
      <c r="B313" s="3">
        <v>46193</v>
      </c>
      <c r="C313" t="s">
        <v>26</v>
      </c>
      <c r="D313" t="s">
        <v>66</v>
      </c>
      <c r="E313" t="s">
        <v>28</v>
      </c>
      <c r="F313" t="s">
        <v>29</v>
      </c>
      <c r="G313">
        <v>1</v>
      </c>
      <c r="H313" s="4">
        <v>3.29</v>
      </c>
      <c r="I313" t="s">
        <v>19</v>
      </c>
      <c r="J313">
        <v>27</v>
      </c>
      <c r="K313">
        <v>0</v>
      </c>
      <c r="L313">
        <v>9</v>
      </c>
      <c r="M313" s="5">
        <v>4.8</v>
      </c>
      <c r="N313" s="4">
        <f t="shared" si="4"/>
        <v>3.29</v>
      </c>
      <c r="O313">
        <f>HOUR(TIMEVALUE(RetailTransactions[[#This Row],[Time]]))</f>
        <v>13</v>
      </c>
    </row>
    <row r="314" spans="1:15">
      <c r="A314" t="s">
        <v>493</v>
      </c>
      <c r="B314" s="3">
        <v>46233</v>
      </c>
      <c r="C314" t="s">
        <v>433</v>
      </c>
      <c r="D314" t="s">
        <v>37</v>
      </c>
      <c r="E314" t="s">
        <v>60</v>
      </c>
      <c r="F314" t="s">
        <v>29</v>
      </c>
      <c r="G314">
        <v>2</v>
      </c>
      <c r="H314" s="4">
        <v>2.69</v>
      </c>
      <c r="I314" t="s">
        <v>19</v>
      </c>
      <c r="J314">
        <v>16</v>
      </c>
      <c r="K314">
        <v>0</v>
      </c>
      <c r="L314">
        <v>7</v>
      </c>
      <c r="M314" s="5">
        <v>1.2</v>
      </c>
      <c r="N314" s="4">
        <f t="shared" si="4"/>
        <v>5.38</v>
      </c>
      <c r="O314">
        <f>HOUR(TIMEVALUE(RetailTransactions[[#This Row],[Time]]))</f>
        <v>20</v>
      </c>
    </row>
    <row r="315" spans="1:15">
      <c r="A315" t="s">
        <v>494</v>
      </c>
      <c r="B315" s="3">
        <v>46176</v>
      </c>
      <c r="C315" t="s">
        <v>443</v>
      </c>
      <c r="D315" t="s">
        <v>16</v>
      </c>
      <c r="E315" t="s">
        <v>49</v>
      </c>
      <c r="F315" t="s">
        <v>50</v>
      </c>
      <c r="G315">
        <v>2</v>
      </c>
      <c r="H315" s="4">
        <v>3.95</v>
      </c>
      <c r="I315" t="s">
        <v>19</v>
      </c>
      <c r="J315">
        <v>3</v>
      </c>
      <c r="K315">
        <v>0</v>
      </c>
      <c r="L315">
        <v>7</v>
      </c>
      <c r="M315" s="5">
        <v>4</v>
      </c>
      <c r="N315" s="4">
        <f t="shared" si="4"/>
        <v>7.9</v>
      </c>
      <c r="O315">
        <f>HOUR(TIMEVALUE(RetailTransactions[[#This Row],[Time]]))</f>
        <v>17</v>
      </c>
    </row>
    <row r="316" spans="1:15">
      <c r="A316" t="s">
        <v>495</v>
      </c>
      <c r="B316" s="3">
        <v>46221</v>
      </c>
      <c r="C316" t="s">
        <v>362</v>
      </c>
      <c r="D316" t="s">
        <v>66</v>
      </c>
      <c r="E316" t="s">
        <v>34</v>
      </c>
      <c r="F316" t="s">
        <v>24</v>
      </c>
      <c r="G316">
        <v>1</v>
      </c>
      <c r="H316" s="4">
        <v>1.49</v>
      </c>
      <c r="I316" t="s">
        <v>19</v>
      </c>
      <c r="J316">
        <v>59</v>
      </c>
      <c r="K316">
        <v>1</v>
      </c>
      <c r="L316">
        <v>6</v>
      </c>
      <c r="M316" s="5">
        <v>5.0999999999999996</v>
      </c>
      <c r="N316" s="4">
        <f t="shared" si="4"/>
        <v>1.49</v>
      </c>
      <c r="O316">
        <f>HOUR(TIMEVALUE(RetailTransactions[[#This Row],[Time]]))</f>
        <v>17</v>
      </c>
    </row>
    <row r="317" spans="1:15">
      <c r="A317" t="s">
        <v>496</v>
      </c>
      <c r="B317" s="3">
        <v>46258</v>
      </c>
      <c r="C317" t="s">
        <v>479</v>
      </c>
      <c r="D317" t="s">
        <v>33</v>
      </c>
      <c r="E317" t="s">
        <v>28</v>
      </c>
      <c r="F317" t="s">
        <v>29</v>
      </c>
      <c r="G317">
        <v>1</v>
      </c>
      <c r="H317" s="4">
        <v>3.29</v>
      </c>
      <c r="I317" t="s">
        <v>19</v>
      </c>
      <c r="J317">
        <v>55</v>
      </c>
      <c r="K317">
        <v>0</v>
      </c>
      <c r="L317">
        <v>4</v>
      </c>
      <c r="M317" s="5">
        <v>4</v>
      </c>
      <c r="N317" s="4">
        <f t="shared" si="4"/>
        <v>3.29</v>
      </c>
      <c r="O317">
        <f>HOUR(TIMEVALUE(RetailTransactions[[#This Row],[Time]]))</f>
        <v>20</v>
      </c>
    </row>
    <row r="318" spans="1:15">
      <c r="A318" t="s">
        <v>497</v>
      </c>
      <c r="B318" s="3">
        <v>46200</v>
      </c>
      <c r="C318" t="s">
        <v>458</v>
      </c>
      <c r="D318" t="s">
        <v>66</v>
      </c>
      <c r="E318" t="s">
        <v>57</v>
      </c>
      <c r="F318" t="s">
        <v>43</v>
      </c>
      <c r="G318">
        <v>1</v>
      </c>
      <c r="H318" s="4">
        <v>1.44</v>
      </c>
      <c r="I318" t="s">
        <v>30</v>
      </c>
      <c r="J318">
        <v>36</v>
      </c>
      <c r="K318">
        <v>0</v>
      </c>
      <c r="L318">
        <v>7</v>
      </c>
      <c r="M318" s="5">
        <v>6.6</v>
      </c>
      <c r="N318" s="4">
        <f t="shared" si="4"/>
        <v>1.44</v>
      </c>
      <c r="O318">
        <f>HOUR(TIMEVALUE(RetailTransactions[[#This Row],[Time]]))</f>
        <v>13</v>
      </c>
    </row>
    <row r="319" spans="1:15">
      <c r="A319" t="s">
        <v>498</v>
      </c>
      <c r="B319" s="3">
        <v>46262</v>
      </c>
      <c r="C319" t="s">
        <v>267</v>
      </c>
      <c r="D319" t="s">
        <v>72</v>
      </c>
      <c r="E319" t="s">
        <v>42</v>
      </c>
      <c r="F319" t="s">
        <v>43</v>
      </c>
      <c r="G319">
        <v>1</v>
      </c>
      <c r="H319" s="4">
        <v>1.39</v>
      </c>
      <c r="I319" t="s">
        <v>19</v>
      </c>
      <c r="J319">
        <v>24</v>
      </c>
      <c r="K319">
        <v>0</v>
      </c>
      <c r="L319">
        <v>8</v>
      </c>
      <c r="M319" s="5">
        <v>5</v>
      </c>
      <c r="N319" s="4">
        <f t="shared" si="4"/>
        <v>1.39</v>
      </c>
      <c r="O319">
        <f>HOUR(TIMEVALUE(RetailTransactions[[#This Row],[Time]]))</f>
        <v>13</v>
      </c>
    </row>
    <row r="320" spans="1:15">
      <c r="A320" t="s">
        <v>499</v>
      </c>
      <c r="B320" s="3">
        <v>46223</v>
      </c>
      <c r="C320" t="s">
        <v>56</v>
      </c>
      <c r="D320" t="s">
        <v>33</v>
      </c>
      <c r="E320" t="s">
        <v>63</v>
      </c>
      <c r="F320" t="s">
        <v>50</v>
      </c>
      <c r="G320">
        <v>3</v>
      </c>
      <c r="H320" s="4">
        <v>3.49</v>
      </c>
      <c r="I320" t="s">
        <v>19</v>
      </c>
      <c r="J320">
        <v>32</v>
      </c>
      <c r="K320">
        <v>0</v>
      </c>
      <c r="L320">
        <v>7</v>
      </c>
      <c r="M320" s="5">
        <v>3.4</v>
      </c>
      <c r="N320" s="4">
        <f t="shared" si="4"/>
        <v>10.47</v>
      </c>
      <c r="O320">
        <f>HOUR(TIMEVALUE(RetailTransactions[[#This Row],[Time]]))</f>
        <v>17</v>
      </c>
    </row>
    <row r="321" spans="1:15">
      <c r="A321" t="s">
        <v>500</v>
      </c>
      <c r="B321" s="3">
        <v>46252</v>
      </c>
      <c r="C321" t="s">
        <v>254</v>
      </c>
      <c r="D321" t="s">
        <v>22</v>
      </c>
      <c r="E321" t="s">
        <v>60</v>
      </c>
      <c r="F321" t="s">
        <v>29</v>
      </c>
      <c r="G321">
        <v>1</v>
      </c>
      <c r="H321" s="4">
        <v>2.69</v>
      </c>
      <c r="I321" t="s">
        <v>19</v>
      </c>
      <c r="J321">
        <v>51</v>
      </c>
      <c r="K321">
        <v>0</v>
      </c>
      <c r="L321">
        <v>7</v>
      </c>
      <c r="M321" s="5">
        <v>1.2</v>
      </c>
      <c r="N321" s="4">
        <f t="shared" si="4"/>
        <v>2.69</v>
      </c>
      <c r="O321">
        <f>HOUR(TIMEVALUE(RetailTransactions[[#This Row],[Time]]))</f>
        <v>10</v>
      </c>
    </row>
    <row r="322" spans="1:15">
      <c r="A322" t="s">
        <v>501</v>
      </c>
      <c r="B322" s="3">
        <v>46263</v>
      </c>
      <c r="C322" t="s">
        <v>305</v>
      </c>
      <c r="D322" t="s">
        <v>66</v>
      </c>
      <c r="E322" t="s">
        <v>63</v>
      </c>
      <c r="F322" t="s">
        <v>50</v>
      </c>
      <c r="G322">
        <v>1</v>
      </c>
      <c r="H322" s="4">
        <v>3.49</v>
      </c>
      <c r="I322" t="s">
        <v>19</v>
      </c>
      <c r="J322">
        <v>53</v>
      </c>
      <c r="K322">
        <v>0</v>
      </c>
      <c r="L322">
        <v>6</v>
      </c>
      <c r="M322" s="5">
        <v>3</v>
      </c>
      <c r="N322" s="4">
        <f t="shared" ref="N322:N385" si="5">G322*H322</f>
        <v>3.49</v>
      </c>
      <c r="O322">
        <f>HOUR(TIMEVALUE(RetailTransactions[[#This Row],[Time]]))</f>
        <v>13</v>
      </c>
    </row>
    <row r="323" spans="1:15">
      <c r="A323" t="s">
        <v>502</v>
      </c>
      <c r="B323" s="3">
        <v>46212</v>
      </c>
      <c r="C323" t="s">
        <v>340</v>
      </c>
      <c r="D323" t="s">
        <v>37</v>
      </c>
      <c r="E323" t="s">
        <v>78</v>
      </c>
      <c r="F323" t="s">
        <v>39</v>
      </c>
      <c r="G323">
        <v>1</v>
      </c>
      <c r="H323" s="4">
        <v>1.55</v>
      </c>
      <c r="I323" t="s">
        <v>19</v>
      </c>
      <c r="J323">
        <v>29</v>
      </c>
      <c r="K323">
        <v>0</v>
      </c>
      <c r="L323">
        <v>9</v>
      </c>
      <c r="M323" s="5">
        <v>6.2</v>
      </c>
      <c r="N323" s="4">
        <f t="shared" si="5"/>
        <v>1.55</v>
      </c>
      <c r="O323">
        <f>HOUR(TIMEVALUE(RetailTransactions[[#This Row],[Time]]))</f>
        <v>19</v>
      </c>
    </row>
    <row r="324" spans="1:15">
      <c r="A324" t="s">
        <v>503</v>
      </c>
      <c r="B324" s="3">
        <v>46228</v>
      </c>
      <c r="C324" t="s">
        <v>355</v>
      </c>
      <c r="D324" t="s">
        <v>66</v>
      </c>
      <c r="E324" t="s">
        <v>63</v>
      </c>
      <c r="F324" t="s">
        <v>50</v>
      </c>
      <c r="G324">
        <v>2</v>
      </c>
      <c r="H324" s="4">
        <v>3.49</v>
      </c>
      <c r="I324" t="s">
        <v>19</v>
      </c>
      <c r="J324">
        <v>43</v>
      </c>
      <c r="K324">
        <v>1</v>
      </c>
      <c r="L324">
        <v>7</v>
      </c>
      <c r="M324" s="5">
        <v>4.5</v>
      </c>
      <c r="N324" s="4">
        <f t="shared" si="5"/>
        <v>6.98</v>
      </c>
      <c r="O324">
        <f>HOUR(TIMEVALUE(RetailTransactions[[#This Row],[Time]]))</f>
        <v>19</v>
      </c>
    </row>
    <row r="325" spans="1:15">
      <c r="A325" t="s">
        <v>504</v>
      </c>
      <c r="B325" s="3">
        <v>46257</v>
      </c>
      <c r="C325" t="s">
        <v>505</v>
      </c>
      <c r="D325" t="s">
        <v>27</v>
      </c>
      <c r="E325" t="s">
        <v>69</v>
      </c>
      <c r="F325" t="s">
        <v>43</v>
      </c>
      <c r="G325">
        <v>2</v>
      </c>
      <c r="H325" s="4">
        <v>1.69</v>
      </c>
      <c r="I325" t="s">
        <v>30</v>
      </c>
      <c r="J325">
        <v>21</v>
      </c>
      <c r="K325">
        <v>1</v>
      </c>
      <c r="L325">
        <v>7</v>
      </c>
      <c r="M325" s="5">
        <v>2</v>
      </c>
      <c r="N325" s="4">
        <f t="shared" si="5"/>
        <v>3.38</v>
      </c>
      <c r="O325">
        <f>HOUR(TIMEVALUE(RetailTransactions[[#This Row],[Time]]))</f>
        <v>20</v>
      </c>
    </row>
    <row r="326" spans="1:15">
      <c r="A326" t="s">
        <v>506</v>
      </c>
      <c r="B326" s="3">
        <v>46231</v>
      </c>
      <c r="C326" t="s">
        <v>204</v>
      </c>
      <c r="D326" t="s">
        <v>22</v>
      </c>
      <c r="E326" t="s">
        <v>60</v>
      </c>
      <c r="F326" t="s">
        <v>29</v>
      </c>
      <c r="G326">
        <v>1</v>
      </c>
      <c r="H326" s="4">
        <v>2.69</v>
      </c>
      <c r="I326" t="s">
        <v>19</v>
      </c>
      <c r="J326">
        <v>3</v>
      </c>
      <c r="K326">
        <v>0</v>
      </c>
      <c r="L326">
        <v>5</v>
      </c>
      <c r="M326" s="5">
        <v>3.2</v>
      </c>
      <c r="N326" s="4">
        <f t="shared" si="5"/>
        <v>2.69</v>
      </c>
      <c r="O326">
        <f>HOUR(TIMEVALUE(RetailTransactions[[#This Row],[Time]]))</f>
        <v>14</v>
      </c>
    </row>
    <row r="327" spans="1:15">
      <c r="A327" t="s">
        <v>507</v>
      </c>
      <c r="B327" s="3">
        <v>46250</v>
      </c>
      <c r="C327" t="s">
        <v>508</v>
      </c>
      <c r="D327" t="s">
        <v>27</v>
      </c>
      <c r="E327" t="s">
        <v>46</v>
      </c>
      <c r="F327" t="s">
        <v>24</v>
      </c>
      <c r="G327">
        <v>2</v>
      </c>
      <c r="H327" s="4">
        <v>1.79</v>
      </c>
      <c r="I327" t="s">
        <v>19</v>
      </c>
      <c r="J327">
        <v>24</v>
      </c>
      <c r="K327">
        <v>1</v>
      </c>
      <c r="L327">
        <v>5</v>
      </c>
      <c r="M327" s="5">
        <v>3.2</v>
      </c>
      <c r="N327" s="4">
        <f t="shared" si="5"/>
        <v>3.58</v>
      </c>
      <c r="O327">
        <f>HOUR(TIMEVALUE(RetailTransactions[[#This Row],[Time]]))</f>
        <v>11</v>
      </c>
    </row>
    <row r="328" spans="1:15">
      <c r="A328" t="s">
        <v>509</v>
      </c>
      <c r="B328" s="3">
        <v>46179</v>
      </c>
      <c r="C328" t="s">
        <v>87</v>
      </c>
      <c r="D328" t="s">
        <v>66</v>
      </c>
      <c r="E328" t="s">
        <v>69</v>
      </c>
      <c r="F328" t="s">
        <v>43</v>
      </c>
      <c r="G328">
        <v>2</v>
      </c>
      <c r="H328" s="4">
        <v>1.99</v>
      </c>
      <c r="I328" t="s">
        <v>19</v>
      </c>
      <c r="J328">
        <v>43</v>
      </c>
      <c r="K328">
        <v>0</v>
      </c>
      <c r="L328">
        <v>9</v>
      </c>
      <c r="M328" s="5">
        <v>6.1</v>
      </c>
      <c r="N328" s="4">
        <f t="shared" si="5"/>
        <v>3.98</v>
      </c>
      <c r="O328">
        <f>HOUR(TIMEVALUE(RetailTransactions[[#This Row],[Time]]))</f>
        <v>19</v>
      </c>
    </row>
    <row r="329" spans="1:15">
      <c r="A329" t="s">
        <v>510</v>
      </c>
      <c r="B329" s="3">
        <v>46244</v>
      </c>
      <c r="C329" t="s">
        <v>340</v>
      </c>
      <c r="D329" t="s">
        <v>33</v>
      </c>
      <c r="E329" t="s">
        <v>69</v>
      </c>
      <c r="F329" t="s">
        <v>43</v>
      </c>
      <c r="G329">
        <v>1</v>
      </c>
      <c r="H329" s="4">
        <v>1.69</v>
      </c>
      <c r="I329" t="s">
        <v>30</v>
      </c>
      <c r="J329">
        <v>44</v>
      </c>
      <c r="K329">
        <v>0</v>
      </c>
      <c r="L329">
        <v>7</v>
      </c>
      <c r="M329" s="5">
        <v>6.7</v>
      </c>
      <c r="N329" s="4">
        <f t="shared" si="5"/>
        <v>1.69</v>
      </c>
      <c r="O329">
        <f>HOUR(TIMEVALUE(RetailTransactions[[#This Row],[Time]]))</f>
        <v>19</v>
      </c>
    </row>
    <row r="330" spans="1:15">
      <c r="A330" t="s">
        <v>511</v>
      </c>
      <c r="B330" s="3">
        <v>46197</v>
      </c>
      <c r="C330" t="s">
        <v>130</v>
      </c>
      <c r="D330" t="s">
        <v>16</v>
      </c>
      <c r="E330" t="s">
        <v>57</v>
      </c>
      <c r="F330" t="s">
        <v>43</v>
      </c>
      <c r="G330">
        <v>1</v>
      </c>
      <c r="H330" s="4">
        <v>1.44</v>
      </c>
      <c r="I330" t="s">
        <v>30</v>
      </c>
      <c r="J330">
        <v>40</v>
      </c>
      <c r="K330">
        <v>0</v>
      </c>
      <c r="L330">
        <v>6</v>
      </c>
      <c r="M330" s="5">
        <v>5.7</v>
      </c>
      <c r="N330" s="4">
        <f t="shared" si="5"/>
        <v>1.44</v>
      </c>
      <c r="O330">
        <f>HOUR(TIMEVALUE(RetailTransactions[[#This Row],[Time]]))</f>
        <v>19</v>
      </c>
    </row>
    <row r="331" spans="1:15">
      <c r="A331" t="s">
        <v>512</v>
      </c>
      <c r="B331" s="3">
        <v>46244</v>
      </c>
      <c r="C331" t="s">
        <v>26</v>
      </c>
      <c r="D331" t="s">
        <v>33</v>
      </c>
      <c r="E331" t="s">
        <v>78</v>
      </c>
      <c r="F331" t="s">
        <v>39</v>
      </c>
      <c r="G331">
        <v>1</v>
      </c>
      <c r="H331" s="4">
        <v>1.55</v>
      </c>
      <c r="I331" t="s">
        <v>19</v>
      </c>
      <c r="J331">
        <v>16</v>
      </c>
      <c r="K331">
        <v>0</v>
      </c>
      <c r="L331">
        <v>7</v>
      </c>
      <c r="M331" s="5">
        <v>4.4000000000000004</v>
      </c>
      <c r="N331" s="4">
        <f t="shared" si="5"/>
        <v>1.55</v>
      </c>
      <c r="O331">
        <f>HOUR(TIMEVALUE(RetailTransactions[[#This Row],[Time]]))</f>
        <v>13</v>
      </c>
    </row>
    <row r="332" spans="1:15">
      <c r="A332" t="s">
        <v>513</v>
      </c>
      <c r="B332" s="3">
        <v>46196</v>
      </c>
      <c r="C332" t="s">
        <v>191</v>
      </c>
      <c r="D332" t="s">
        <v>22</v>
      </c>
      <c r="E332" t="s">
        <v>60</v>
      </c>
      <c r="F332" t="s">
        <v>29</v>
      </c>
      <c r="G332">
        <v>2</v>
      </c>
      <c r="H332" s="4">
        <v>2.29</v>
      </c>
      <c r="I332" t="s">
        <v>30</v>
      </c>
      <c r="J332">
        <v>51</v>
      </c>
      <c r="K332">
        <v>0</v>
      </c>
      <c r="L332">
        <v>4</v>
      </c>
      <c r="M332" s="5">
        <v>4.0999999999999996</v>
      </c>
      <c r="N332" s="4">
        <f t="shared" si="5"/>
        <v>4.58</v>
      </c>
      <c r="O332">
        <f>HOUR(TIMEVALUE(RetailTransactions[[#This Row],[Time]]))</f>
        <v>7</v>
      </c>
    </row>
    <row r="333" spans="1:15">
      <c r="A333" t="s">
        <v>514</v>
      </c>
      <c r="B333" s="3">
        <v>46176</v>
      </c>
      <c r="C333" t="s">
        <v>130</v>
      </c>
      <c r="D333" t="s">
        <v>16</v>
      </c>
      <c r="E333" t="s">
        <v>63</v>
      </c>
      <c r="F333" t="s">
        <v>50</v>
      </c>
      <c r="G333">
        <v>1</v>
      </c>
      <c r="H333" s="4">
        <v>2.97</v>
      </c>
      <c r="I333" t="s">
        <v>30</v>
      </c>
      <c r="J333">
        <v>54</v>
      </c>
      <c r="K333">
        <v>0</v>
      </c>
      <c r="L333">
        <v>9</v>
      </c>
      <c r="M333" s="5">
        <v>4.2</v>
      </c>
      <c r="N333" s="4">
        <f t="shared" si="5"/>
        <v>2.97</v>
      </c>
      <c r="O333">
        <f>HOUR(TIMEVALUE(RetailTransactions[[#This Row],[Time]]))</f>
        <v>19</v>
      </c>
    </row>
    <row r="334" spans="1:15">
      <c r="A334" t="s">
        <v>515</v>
      </c>
      <c r="B334" s="3">
        <v>46221</v>
      </c>
      <c r="C334" t="s">
        <v>345</v>
      </c>
      <c r="D334" t="s">
        <v>66</v>
      </c>
      <c r="E334" t="s">
        <v>34</v>
      </c>
      <c r="F334" t="s">
        <v>24</v>
      </c>
      <c r="G334">
        <v>1</v>
      </c>
      <c r="H334" s="4">
        <v>1.49</v>
      </c>
      <c r="I334" t="s">
        <v>19</v>
      </c>
      <c r="J334">
        <v>10</v>
      </c>
      <c r="K334">
        <v>0</v>
      </c>
      <c r="L334">
        <v>8</v>
      </c>
      <c r="M334" s="5">
        <v>3.9</v>
      </c>
      <c r="N334" s="4">
        <f t="shared" si="5"/>
        <v>1.49</v>
      </c>
      <c r="O334">
        <f>HOUR(TIMEVALUE(RetailTransactions[[#This Row],[Time]]))</f>
        <v>18</v>
      </c>
    </row>
    <row r="335" spans="1:15">
      <c r="A335" t="s">
        <v>516</v>
      </c>
      <c r="B335" s="3">
        <v>46222</v>
      </c>
      <c r="C335" t="s">
        <v>71</v>
      </c>
      <c r="D335" t="s">
        <v>27</v>
      </c>
      <c r="E335" t="s">
        <v>23</v>
      </c>
      <c r="F335" t="s">
        <v>24</v>
      </c>
      <c r="G335">
        <v>1</v>
      </c>
      <c r="H335" s="4">
        <v>0.95</v>
      </c>
      <c r="I335" t="s">
        <v>19</v>
      </c>
      <c r="J335">
        <v>27</v>
      </c>
      <c r="K335">
        <v>0</v>
      </c>
      <c r="L335">
        <v>9</v>
      </c>
      <c r="M335" s="5">
        <v>4.5</v>
      </c>
      <c r="N335" s="4">
        <f t="shared" si="5"/>
        <v>0.95</v>
      </c>
      <c r="O335">
        <f>HOUR(TIMEVALUE(RetailTransactions[[#This Row],[Time]]))</f>
        <v>17</v>
      </c>
    </row>
    <row r="336" spans="1:15">
      <c r="A336" t="s">
        <v>517</v>
      </c>
      <c r="B336" s="3">
        <v>46255</v>
      </c>
      <c r="C336" t="s">
        <v>362</v>
      </c>
      <c r="D336" t="s">
        <v>72</v>
      </c>
      <c r="E336" t="s">
        <v>120</v>
      </c>
      <c r="F336" t="s">
        <v>50</v>
      </c>
      <c r="G336">
        <v>4</v>
      </c>
      <c r="H336" s="4">
        <v>2.25</v>
      </c>
      <c r="I336" t="s">
        <v>19</v>
      </c>
      <c r="J336">
        <v>48</v>
      </c>
      <c r="K336">
        <v>0</v>
      </c>
      <c r="L336">
        <v>9</v>
      </c>
      <c r="M336" s="5">
        <v>5.0999999999999996</v>
      </c>
      <c r="N336" s="4">
        <f t="shared" si="5"/>
        <v>9</v>
      </c>
      <c r="O336">
        <f>HOUR(TIMEVALUE(RetailTransactions[[#This Row],[Time]]))</f>
        <v>17</v>
      </c>
    </row>
    <row r="337" spans="1:15">
      <c r="A337" t="s">
        <v>518</v>
      </c>
      <c r="B337" s="3">
        <v>46250</v>
      </c>
      <c r="C337" t="s">
        <v>519</v>
      </c>
      <c r="D337" t="s">
        <v>27</v>
      </c>
      <c r="E337" t="s">
        <v>49</v>
      </c>
      <c r="F337" t="s">
        <v>50</v>
      </c>
      <c r="G337">
        <v>2</v>
      </c>
      <c r="H337" s="4">
        <v>3.95</v>
      </c>
      <c r="I337" t="s">
        <v>19</v>
      </c>
      <c r="J337">
        <v>45</v>
      </c>
      <c r="K337">
        <v>0</v>
      </c>
      <c r="L337">
        <v>8</v>
      </c>
      <c r="M337" s="5">
        <v>6.1</v>
      </c>
      <c r="N337" s="4">
        <f t="shared" si="5"/>
        <v>7.9</v>
      </c>
      <c r="O337">
        <f>HOUR(TIMEVALUE(RetailTransactions[[#This Row],[Time]]))</f>
        <v>13</v>
      </c>
    </row>
    <row r="338" spans="1:15">
      <c r="A338" t="s">
        <v>520</v>
      </c>
      <c r="B338" s="3">
        <v>46184</v>
      </c>
      <c r="C338" t="s">
        <v>297</v>
      </c>
      <c r="D338" t="s">
        <v>37</v>
      </c>
      <c r="E338" t="s">
        <v>115</v>
      </c>
      <c r="F338" t="s">
        <v>29</v>
      </c>
      <c r="G338">
        <v>1</v>
      </c>
      <c r="H338" s="4">
        <v>3.39</v>
      </c>
      <c r="I338" t="s">
        <v>30</v>
      </c>
      <c r="J338">
        <v>11</v>
      </c>
      <c r="K338">
        <v>0</v>
      </c>
      <c r="L338">
        <v>6</v>
      </c>
      <c r="M338" s="5">
        <v>4</v>
      </c>
      <c r="N338" s="4">
        <f t="shared" si="5"/>
        <v>3.39</v>
      </c>
      <c r="O338">
        <f>HOUR(TIMEVALUE(RetailTransactions[[#This Row],[Time]]))</f>
        <v>19</v>
      </c>
    </row>
    <row r="339" spans="1:15">
      <c r="A339" t="s">
        <v>521</v>
      </c>
      <c r="B339" s="3">
        <v>46226</v>
      </c>
      <c r="C339" t="s">
        <v>403</v>
      </c>
      <c r="D339" t="s">
        <v>37</v>
      </c>
      <c r="E339" t="s">
        <v>57</v>
      </c>
      <c r="F339" t="s">
        <v>43</v>
      </c>
      <c r="G339">
        <v>1</v>
      </c>
      <c r="H339" s="4">
        <v>1.69</v>
      </c>
      <c r="I339" t="s">
        <v>19</v>
      </c>
      <c r="J339">
        <v>52</v>
      </c>
      <c r="K339">
        <v>1</v>
      </c>
      <c r="L339">
        <v>7</v>
      </c>
      <c r="M339" s="5">
        <v>1.6</v>
      </c>
      <c r="N339" s="4">
        <f t="shared" si="5"/>
        <v>1.69</v>
      </c>
      <c r="O339">
        <f>HOUR(TIMEVALUE(RetailTransactions[[#This Row],[Time]]))</f>
        <v>11</v>
      </c>
    </row>
    <row r="340" spans="1:15">
      <c r="A340" t="s">
        <v>522</v>
      </c>
      <c r="B340" s="3">
        <v>46207</v>
      </c>
      <c r="C340" t="s">
        <v>523</v>
      </c>
      <c r="D340" t="s">
        <v>66</v>
      </c>
      <c r="E340" t="s">
        <v>125</v>
      </c>
      <c r="F340" t="s">
        <v>39</v>
      </c>
      <c r="G340">
        <v>3</v>
      </c>
      <c r="H340" s="4">
        <v>1.85</v>
      </c>
      <c r="I340" t="s">
        <v>19</v>
      </c>
      <c r="J340">
        <v>22</v>
      </c>
      <c r="K340">
        <v>0</v>
      </c>
      <c r="L340">
        <v>6</v>
      </c>
      <c r="M340" s="5">
        <v>2.2999999999999998</v>
      </c>
      <c r="N340" s="4">
        <f t="shared" si="5"/>
        <v>5.5500000000000007</v>
      </c>
      <c r="O340">
        <f>HOUR(TIMEVALUE(RetailTransactions[[#This Row],[Time]]))</f>
        <v>9</v>
      </c>
    </row>
    <row r="341" spans="1:15">
      <c r="A341" t="s">
        <v>524</v>
      </c>
      <c r="B341" s="3">
        <v>46199</v>
      </c>
      <c r="C341" t="s">
        <v>95</v>
      </c>
      <c r="D341" t="s">
        <v>72</v>
      </c>
      <c r="E341" t="s">
        <v>85</v>
      </c>
      <c r="F341" t="s">
        <v>18</v>
      </c>
      <c r="G341">
        <v>1</v>
      </c>
      <c r="H341" s="4">
        <v>2.4900000000000002</v>
      </c>
      <c r="I341" t="s">
        <v>19</v>
      </c>
      <c r="J341">
        <v>29</v>
      </c>
      <c r="K341">
        <v>0</v>
      </c>
      <c r="L341">
        <v>4</v>
      </c>
      <c r="M341" s="5">
        <v>4.4000000000000004</v>
      </c>
      <c r="N341" s="4">
        <f t="shared" si="5"/>
        <v>2.4900000000000002</v>
      </c>
      <c r="O341">
        <f>HOUR(TIMEVALUE(RetailTransactions[[#This Row],[Time]]))</f>
        <v>16</v>
      </c>
    </row>
    <row r="342" spans="1:15">
      <c r="A342" t="s">
        <v>525</v>
      </c>
      <c r="B342" s="3">
        <v>46189</v>
      </c>
      <c r="C342" t="s">
        <v>32</v>
      </c>
      <c r="D342" t="s">
        <v>22</v>
      </c>
      <c r="E342" t="s">
        <v>46</v>
      </c>
      <c r="F342" t="s">
        <v>24</v>
      </c>
      <c r="G342">
        <v>3</v>
      </c>
      <c r="H342" s="4">
        <v>1.52</v>
      </c>
      <c r="I342" t="s">
        <v>30</v>
      </c>
      <c r="J342">
        <v>58</v>
      </c>
      <c r="K342">
        <v>0</v>
      </c>
      <c r="L342">
        <v>4</v>
      </c>
      <c r="M342" s="5">
        <v>4.7</v>
      </c>
      <c r="N342" s="4">
        <f t="shared" si="5"/>
        <v>4.5600000000000005</v>
      </c>
      <c r="O342">
        <f>HOUR(TIMEVALUE(RetailTransactions[[#This Row],[Time]]))</f>
        <v>21</v>
      </c>
    </row>
    <row r="343" spans="1:15">
      <c r="A343" t="s">
        <v>526</v>
      </c>
      <c r="B343" s="3">
        <v>46215</v>
      </c>
      <c r="C343" t="s">
        <v>267</v>
      </c>
      <c r="D343" t="s">
        <v>27</v>
      </c>
      <c r="E343" t="s">
        <v>46</v>
      </c>
      <c r="F343" t="s">
        <v>24</v>
      </c>
      <c r="G343">
        <v>1</v>
      </c>
      <c r="H343" s="4">
        <v>1.79</v>
      </c>
      <c r="I343" t="s">
        <v>19</v>
      </c>
      <c r="J343">
        <v>22</v>
      </c>
      <c r="K343">
        <v>0</v>
      </c>
      <c r="L343">
        <v>7</v>
      </c>
      <c r="M343" s="5">
        <v>5.5</v>
      </c>
      <c r="N343" s="4">
        <f t="shared" si="5"/>
        <v>1.79</v>
      </c>
      <c r="O343">
        <f>HOUR(TIMEVALUE(RetailTransactions[[#This Row],[Time]]))</f>
        <v>13</v>
      </c>
    </row>
    <row r="344" spans="1:15">
      <c r="A344" t="s">
        <v>527</v>
      </c>
      <c r="B344" s="3">
        <v>46204</v>
      </c>
      <c r="C344" t="s">
        <v>258</v>
      </c>
      <c r="D344" t="s">
        <v>16</v>
      </c>
      <c r="E344" t="s">
        <v>38</v>
      </c>
      <c r="F344" t="s">
        <v>39</v>
      </c>
      <c r="G344">
        <v>1</v>
      </c>
      <c r="H344" s="4">
        <v>2.37</v>
      </c>
      <c r="I344" t="s">
        <v>30</v>
      </c>
      <c r="J344">
        <v>45</v>
      </c>
      <c r="K344">
        <v>0</v>
      </c>
      <c r="L344">
        <v>7</v>
      </c>
      <c r="M344" s="5">
        <v>1.5</v>
      </c>
      <c r="N344" s="4">
        <f t="shared" si="5"/>
        <v>2.37</v>
      </c>
      <c r="O344">
        <f>HOUR(TIMEVALUE(RetailTransactions[[#This Row],[Time]]))</f>
        <v>16</v>
      </c>
    </row>
    <row r="345" spans="1:15">
      <c r="A345" t="s">
        <v>528</v>
      </c>
      <c r="B345" s="3">
        <v>46248</v>
      </c>
      <c r="C345" t="s">
        <v>166</v>
      </c>
      <c r="D345" t="s">
        <v>72</v>
      </c>
      <c r="E345" t="s">
        <v>42</v>
      </c>
      <c r="F345" t="s">
        <v>43</v>
      </c>
      <c r="G345">
        <v>2</v>
      </c>
      <c r="H345" s="4">
        <v>1.39</v>
      </c>
      <c r="I345" t="s">
        <v>19</v>
      </c>
      <c r="J345">
        <v>48</v>
      </c>
      <c r="K345">
        <v>0</v>
      </c>
      <c r="L345">
        <v>4</v>
      </c>
      <c r="M345" s="5">
        <v>4.2</v>
      </c>
      <c r="N345" s="4">
        <f t="shared" si="5"/>
        <v>2.78</v>
      </c>
      <c r="O345">
        <f>HOUR(TIMEVALUE(RetailTransactions[[#This Row],[Time]]))</f>
        <v>7</v>
      </c>
    </row>
    <row r="346" spans="1:15">
      <c r="A346" t="s">
        <v>529</v>
      </c>
      <c r="B346" s="3">
        <v>46185</v>
      </c>
      <c r="C346" t="s">
        <v>142</v>
      </c>
      <c r="D346" t="s">
        <v>72</v>
      </c>
      <c r="E346" t="s">
        <v>28</v>
      </c>
      <c r="F346" t="s">
        <v>29</v>
      </c>
      <c r="G346">
        <v>1</v>
      </c>
      <c r="H346" s="4">
        <v>3.29</v>
      </c>
      <c r="I346" t="s">
        <v>19</v>
      </c>
      <c r="J346">
        <v>38</v>
      </c>
      <c r="K346">
        <v>0</v>
      </c>
      <c r="L346">
        <v>6</v>
      </c>
      <c r="M346" s="5">
        <v>4.8</v>
      </c>
      <c r="N346" s="4">
        <f t="shared" si="5"/>
        <v>3.29</v>
      </c>
      <c r="O346">
        <f>HOUR(TIMEVALUE(RetailTransactions[[#This Row],[Time]]))</f>
        <v>18</v>
      </c>
    </row>
    <row r="347" spans="1:15">
      <c r="A347" t="s">
        <v>530</v>
      </c>
      <c r="B347" s="3">
        <v>46183</v>
      </c>
      <c r="C347" t="s">
        <v>232</v>
      </c>
      <c r="D347" t="s">
        <v>16</v>
      </c>
      <c r="E347" t="s">
        <v>60</v>
      </c>
      <c r="F347" t="s">
        <v>29</v>
      </c>
      <c r="G347">
        <v>3</v>
      </c>
      <c r="H347" s="4">
        <v>2.69</v>
      </c>
      <c r="I347" t="s">
        <v>19</v>
      </c>
      <c r="J347">
        <v>60</v>
      </c>
      <c r="K347">
        <v>0</v>
      </c>
      <c r="L347">
        <v>8</v>
      </c>
      <c r="M347" s="5">
        <v>5.6</v>
      </c>
      <c r="N347" s="4">
        <f t="shared" si="5"/>
        <v>8.07</v>
      </c>
      <c r="O347">
        <f>HOUR(TIMEVALUE(RetailTransactions[[#This Row],[Time]]))</f>
        <v>19</v>
      </c>
    </row>
    <row r="348" spans="1:15">
      <c r="A348" t="s">
        <v>531</v>
      </c>
      <c r="B348" s="3">
        <v>46183</v>
      </c>
      <c r="C348" t="s">
        <v>202</v>
      </c>
      <c r="D348" t="s">
        <v>16</v>
      </c>
      <c r="E348" t="s">
        <v>57</v>
      </c>
      <c r="F348" t="s">
        <v>43</v>
      </c>
      <c r="G348">
        <v>2</v>
      </c>
      <c r="H348" s="4">
        <v>1.69</v>
      </c>
      <c r="I348" t="s">
        <v>19</v>
      </c>
      <c r="J348">
        <v>33</v>
      </c>
      <c r="K348">
        <v>1</v>
      </c>
      <c r="L348">
        <v>9</v>
      </c>
      <c r="M348" s="5">
        <v>4.8</v>
      </c>
      <c r="N348" s="4">
        <f t="shared" si="5"/>
        <v>3.38</v>
      </c>
      <c r="O348">
        <f>HOUR(TIMEVALUE(RetailTransactions[[#This Row],[Time]]))</f>
        <v>13</v>
      </c>
    </row>
    <row r="349" spans="1:15">
      <c r="A349" t="s">
        <v>532</v>
      </c>
      <c r="B349" s="3">
        <v>46229</v>
      </c>
      <c r="C349" t="s">
        <v>124</v>
      </c>
      <c r="D349" t="s">
        <v>27</v>
      </c>
      <c r="E349" t="s">
        <v>78</v>
      </c>
      <c r="F349" t="s">
        <v>39</v>
      </c>
      <c r="G349">
        <v>1</v>
      </c>
      <c r="H349" s="4">
        <v>1.32</v>
      </c>
      <c r="I349" t="s">
        <v>30</v>
      </c>
      <c r="J349">
        <v>25</v>
      </c>
      <c r="K349">
        <v>0</v>
      </c>
      <c r="L349">
        <v>7</v>
      </c>
      <c r="M349" s="5">
        <v>4.0999999999999996</v>
      </c>
      <c r="N349" s="4">
        <f t="shared" si="5"/>
        <v>1.32</v>
      </c>
      <c r="O349">
        <f>HOUR(TIMEVALUE(RetailTransactions[[#This Row],[Time]]))</f>
        <v>18</v>
      </c>
    </row>
    <row r="350" spans="1:15">
      <c r="A350" t="s">
        <v>533</v>
      </c>
      <c r="B350" s="3">
        <v>46196</v>
      </c>
      <c r="C350" t="s">
        <v>147</v>
      </c>
      <c r="D350" t="s">
        <v>22</v>
      </c>
      <c r="E350" t="s">
        <v>42</v>
      </c>
      <c r="F350" t="s">
        <v>43</v>
      </c>
      <c r="G350">
        <v>1</v>
      </c>
      <c r="H350" s="4">
        <v>1.18</v>
      </c>
      <c r="I350" t="s">
        <v>30</v>
      </c>
      <c r="J350">
        <v>55</v>
      </c>
      <c r="K350">
        <v>0</v>
      </c>
      <c r="L350">
        <v>6</v>
      </c>
      <c r="M350" s="5">
        <v>1.4</v>
      </c>
      <c r="N350" s="4">
        <f t="shared" si="5"/>
        <v>1.18</v>
      </c>
      <c r="O350">
        <f>HOUR(TIMEVALUE(RetailTransactions[[#This Row],[Time]]))</f>
        <v>14</v>
      </c>
    </row>
    <row r="351" spans="1:15">
      <c r="A351" t="s">
        <v>534</v>
      </c>
      <c r="B351" s="3">
        <v>46207</v>
      </c>
      <c r="C351" t="s">
        <v>335</v>
      </c>
      <c r="D351" t="s">
        <v>66</v>
      </c>
      <c r="E351" t="s">
        <v>85</v>
      </c>
      <c r="F351" t="s">
        <v>18</v>
      </c>
      <c r="G351">
        <v>1</v>
      </c>
      <c r="H351" s="4">
        <v>2.4900000000000002</v>
      </c>
      <c r="I351" t="s">
        <v>19</v>
      </c>
      <c r="J351">
        <v>44</v>
      </c>
      <c r="K351">
        <v>0</v>
      </c>
      <c r="L351">
        <v>6</v>
      </c>
      <c r="M351" s="5">
        <v>4.8</v>
      </c>
      <c r="N351" s="4">
        <f t="shared" si="5"/>
        <v>2.4900000000000002</v>
      </c>
      <c r="O351">
        <f>HOUR(TIMEVALUE(RetailTransactions[[#This Row],[Time]]))</f>
        <v>18</v>
      </c>
    </row>
    <row r="352" spans="1:15">
      <c r="A352" t="s">
        <v>535</v>
      </c>
      <c r="B352" s="3">
        <v>46186</v>
      </c>
      <c r="C352" t="s">
        <v>307</v>
      </c>
      <c r="D352" t="s">
        <v>66</v>
      </c>
      <c r="E352" t="s">
        <v>34</v>
      </c>
      <c r="F352" t="s">
        <v>24</v>
      </c>
      <c r="G352">
        <v>1</v>
      </c>
      <c r="H352" s="4">
        <v>1.49</v>
      </c>
      <c r="I352" t="s">
        <v>19</v>
      </c>
      <c r="J352">
        <v>40</v>
      </c>
      <c r="K352">
        <v>0</v>
      </c>
      <c r="L352">
        <v>6</v>
      </c>
      <c r="M352" s="5">
        <v>3.8</v>
      </c>
      <c r="N352" s="4">
        <f t="shared" si="5"/>
        <v>1.49</v>
      </c>
      <c r="O352">
        <f>HOUR(TIMEVALUE(RetailTransactions[[#This Row],[Time]]))</f>
        <v>19</v>
      </c>
    </row>
    <row r="353" spans="1:15">
      <c r="A353" t="s">
        <v>536</v>
      </c>
      <c r="B353" s="3">
        <v>46232</v>
      </c>
      <c r="C353" t="s">
        <v>345</v>
      </c>
      <c r="D353" t="s">
        <v>16</v>
      </c>
      <c r="E353" t="s">
        <v>38</v>
      </c>
      <c r="F353" t="s">
        <v>39</v>
      </c>
      <c r="G353">
        <v>1</v>
      </c>
      <c r="H353" s="4">
        <v>2.79</v>
      </c>
      <c r="I353" t="s">
        <v>19</v>
      </c>
      <c r="J353">
        <v>40</v>
      </c>
      <c r="K353">
        <v>0</v>
      </c>
      <c r="L353">
        <v>6</v>
      </c>
      <c r="M353" s="5">
        <v>4.2</v>
      </c>
      <c r="N353" s="4">
        <f t="shared" si="5"/>
        <v>2.79</v>
      </c>
      <c r="O353">
        <f>HOUR(TIMEVALUE(RetailTransactions[[#This Row],[Time]]))</f>
        <v>18</v>
      </c>
    </row>
    <row r="354" spans="1:15">
      <c r="A354" t="s">
        <v>537</v>
      </c>
      <c r="B354" s="3">
        <v>46230</v>
      </c>
      <c r="C354" t="s">
        <v>189</v>
      </c>
      <c r="D354" t="s">
        <v>33</v>
      </c>
      <c r="E354" t="s">
        <v>49</v>
      </c>
      <c r="F354" t="s">
        <v>50</v>
      </c>
      <c r="G354">
        <v>1</v>
      </c>
      <c r="H354" s="4">
        <v>3.95</v>
      </c>
      <c r="I354" t="s">
        <v>19</v>
      </c>
      <c r="J354">
        <v>30</v>
      </c>
      <c r="K354">
        <v>0</v>
      </c>
      <c r="L354">
        <v>8</v>
      </c>
      <c r="M354" s="5">
        <v>2.7</v>
      </c>
      <c r="N354" s="4">
        <f t="shared" si="5"/>
        <v>3.95</v>
      </c>
      <c r="O354">
        <f>HOUR(TIMEVALUE(RetailTransactions[[#This Row],[Time]]))</f>
        <v>17</v>
      </c>
    </row>
    <row r="355" spans="1:15">
      <c r="A355" t="s">
        <v>538</v>
      </c>
      <c r="B355" s="3">
        <v>46175</v>
      </c>
      <c r="C355" t="s">
        <v>539</v>
      </c>
      <c r="D355" t="s">
        <v>22</v>
      </c>
      <c r="E355" t="s">
        <v>125</v>
      </c>
      <c r="F355" t="s">
        <v>39</v>
      </c>
      <c r="G355">
        <v>4</v>
      </c>
      <c r="H355" s="4">
        <v>1.57</v>
      </c>
      <c r="I355" t="s">
        <v>30</v>
      </c>
      <c r="J355">
        <v>46</v>
      </c>
      <c r="K355">
        <v>1</v>
      </c>
      <c r="L355">
        <v>6</v>
      </c>
      <c r="M355" s="5">
        <v>1.3</v>
      </c>
      <c r="N355" s="4">
        <f t="shared" si="5"/>
        <v>6.28</v>
      </c>
      <c r="O355">
        <f>HOUR(TIMEVALUE(RetailTransactions[[#This Row],[Time]]))</f>
        <v>10</v>
      </c>
    </row>
    <row r="356" spans="1:15">
      <c r="A356" t="s">
        <v>540</v>
      </c>
      <c r="B356" s="3">
        <v>46199</v>
      </c>
      <c r="C356" t="s">
        <v>345</v>
      </c>
      <c r="D356" t="s">
        <v>72</v>
      </c>
      <c r="E356" t="s">
        <v>17</v>
      </c>
      <c r="F356" t="s">
        <v>18</v>
      </c>
      <c r="G356">
        <v>1</v>
      </c>
      <c r="H356" s="4">
        <v>1.75</v>
      </c>
      <c r="I356" t="s">
        <v>19</v>
      </c>
      <c r="J356">
        <v>10</v>
      </c>
      <c r="K356">
        <v>0</v>
      </c>
      <c r="L356">
        <v>8</v>
      </c>
      <c r="M356" s="5">
        <v>4.5</v>
      </c>
      <c r="N356" s="4">
        <f t="shared" si="5"/>
        <v>1.75</v>
      </c>
      <c r="O356">
        <f>HOUR(TIMEVALUE(RetailTransactions[[#This Row],[Time]]))</f>
        <v>18</v>
      </c>
    </row>
    <row r="357" spans="1:15">
      <c r="A357" t="s">
        <v>541</v>
      </c>
      <c r="B357" s="3">
        <v>46210</v>
      </c>
      <c r="C357" t="s">
        <v>95</v>
      </c>
      <c r="D357" t="s">
        <v>22</v>
      </c>
      <c r="E357" t="s">
        <v>42</v>
      </c>
      <c r="F357" t="s">
        <v>43</v>
      </c>
      <c r="G357">
        <v>2</v>
      </c>
      <c r="H357" s="4">
        <v>1.39</v>
      </c>
      <c r="I357" t="s">
        <v>19</v>
      </c>
      <c r="J357">
        <v>34</v>
      </c>
      <c r="K357">
        <v>0</v>
      </c>
      <c r="L357">
        <v>4</v>
      </c>
      <c r="M357" s="5">
        <v>2.5</v>
      </c>
      <c r="N357" s="4">
        <f t="shared" si="5"/>
        <v>2.78</v>
      </c>
      <c r="O357">
        <f>HOUR(TIMEVALUE(RetailTransactions[[#This Row],[Time]]))</f>
        <v>16</v>
      </c>
    </row>
    <row r="358" spans="1:15">
      <c r="A358" t="s">
        <v>542</v>
      </c>
      <c r="B358" s="3">
        <v>46195</v>
      </c>
      <c r="C358" t="s">
        <v>543</v>
      </c>
      <c r="D358" t="s">
        <v>33</v>
      </c>
      <c r="E358" t="s">
        <v>60</v>
      </c>
      <c r="F358" t="s">
        <v>29</v>
      </c>
      <c r="G358">
        <v>2</v>
      </c>
      <c r="H358" s="4">
        <v>2.29</v>
      </c>
      <c r="I358" t="s">
        <v>30</v>
      </c>
      <c r="J358">
        <v>10</v>
      </c>
      <c r="K358">
        <v>0</v>
      </c>
      <c r="L358">
        <v>4</v>
      </c>
      <c r="M358" s="5">
        <v>3.8</v>
      </c>
      <c r="N358" s="4">
        <f t="shared" si="5"/>
        <v>4.58</v>
      </c>
      <c r="O358">
        <f>HOUR(TIMEVALUE(RetailTransactions[[#This Row],[Time]]))</f>
        <v>15</v>
      </c>
    </row>
    <row r="359" spans="1:15">
      <c r="A359" t="s">
        <v>544</v>
      </c>
      <c r="B359" s="3">
        <v>46204</v>
      </c>
      <c r="C359" t="s">
        <v>523</v>
      </c>
      <c r="D359" t="s">
        <v>16</v>
      </c>
      <c r="E359" t="s">
        <v>125</v>
      </c>
      <c r="F359" t="s">
        <v>39</v>
      </c>
      <c r="G359">
        <v>1</v>
      </c>
      <c r="H359" s="4">
        <v>1.85</v>
      </c>
      <c r="I359" t="s">
        <v>19</v>
      </c>
      <c r="J359">
        <v>36</v>
      </c>
      <c r="K359">
        <v>0</v>
      </c>
      <c r="L359">
        <v>5</v>
      </c>
      <c r="M359" s="5">
        <v>3.9</v>
      </c>
      <c r="N359" s="4">
        <f t="shared" si="5"/>
        <v>1.85</v>
      </c>
      <c r="O359">
        <f>HOUR(TIMEVALUE(RetailTransactions[[#This Row],[Time]]))</f>
        <v>9</v>
      </c>
    </row>
    <row r="360" spans="1:15">
      <c r="A360" t="s">
        <v>545</v>
      </c>
      <c r="B360" s="3">
        <v>46193</v>
      </c>
      <c r="C360" t="s">
        <v>265</v>
      </c>
      <c r="D360" t="s">
        <v>66</v>
      </c>
      <c r="E360" t="s">
        <v>69</v>
      </c>
      <c r="F360" t="s">
        <v>43</v>
      </c>
      <c r="G360">
        <v>1</v>
      </c>
      <c r="H360" s="4">
        <v>1.69</v>
      </c>
      <c r="I360" t="s">
        <v>30</v>
      </c>
      <c r="J360">
        <v>54</v>
      </c>
      <c r="K360">
        <v>0</v>
      </c>
      <c r="L360">
        <v>6</v>
      </c>
      <c r="M360" s="5">
        <v>2.8</v>
      </c>
      <c r="N360" s="4">
        <f t="shared" si="5"/>
        <v>1.69</v>
      </c>
      <c r="O360">
        <f>HOUR(TIMEVALUE(RetailTransactions[[#This Row],[Time]]))</f>
        <v>20</v>
      </c>
    </row>
    <row r="361" spans="1:15">
      <c r="A361" t="s">
        <v>546</v>
      </c>
      <c r="B361" s="3">
        <v>46187</v>
      </c>
      <c r="C361" t="s">
        <v>335</v>
      </c>
      <c r="D361" t="s">
        <v>27</v>
      </c>
      <c r="E361" t="s">
        <v>49</v>
      </c>
      <c r="F361" t="s">
        <v>50</v>
      </c>
      <c r="G361">
        <v>1</v>
      </c>
      <c r="H361" s="4">
        <v>3.95</v>
      </c>
      <c r="I361" t="s">
        <v>19</v>
      </c>
      <c r="J361">
        <v>36</v>
      </c>
      <c r="K361">
        <v>0</v>
      </c>
      <c r="L361">
        <v>7</v>
      </c>
      <c r="M361" s="5">
        <v>5.2</v>
      </c>
      <c r="N361" s="4">
        <f t="shared" si="5"/>
        <v>3.95</v>
      </c>
      <c r="O361">
        <f>HOUR(TIMEVALUE(RetailTransactions[[#This Row],[Time]]))</f>
        <v>18</v>
      </c>
    </row>
    <row r="362" spans="1:15">
      <c r="A362" t="s">
        <v>547</v>
      </c>
      <c r="B362" s="3">
        <v>46236</v>
      </c>
      <c r="C362" t="s">
        <v>62</v>
      </c>
      <c r="D362" t="s">
        <v>27</v>
      </c>
      <c r="E362" t="s">
        <v>106</v>
      </c>
      <c r="F362" t="s">
        <v>18</v>
      </c>
      <c r="G362">
        <v>2</v>
      </c>
      <c r="H362" s="4">
        <v>1.61</v>
      </c>
      <c r="I362" t="s">
        <v>30</v>
      </c>
      <c r="J362">
        <v>39</v>
      </c>
      <c r="K362">
        <v>0</v>
      </c>
      <c r="L362">
        <v>9</v>
      </c>
      <c r="M362" s="5">
        <v>4.4000000000000004</v>
      </c>
      <c r="N362" s="4">
        <f t="shared" si="5"/>
        <v>3.22</v>
      </c>
      <c r="O362">
        <f>HOUR(TIMEVALUE(RetailTransactions[[#This Row],[Time]]))</f>
        <v>18</v>
      </c>
    </row>
    <row r="363" spans="1:15">
      <c r="A363" t="s">
        <v>548</v>
      </c>
      <c r="B363" s="3">
        <v>46236</v>
      </c>
      <c r="C363" t="s">
        <v>89</v>
      </c>
      <c r="D363" t="s">
        <v>27</v>
      </c>
      <c r="E363" t="s">
        <v>85</v>
      </c>
      <c r="F363" t="s">
        <v>18</v>
      </c>
      <c r="G363">
        <v>1</v>
      </c>
      <c r="H363" s="4">
        <v>2.4900000000000002</v>
      </c>
      <c r="I363" t="s">
        <v>19</v>
      </c>
      <c r="J363">
        <v>56</v>
      </c>
      <c r="K363">
        <v>0</v>
      </c>
      <c r="L363">
        <v>4</v>
      </c>
      <c r="M363" s="5">
        <v>3.5</v>
      </c>
      <c r="N363" s="4">
        <f t="shared" si="5"/>
        <v>2.4900000000000002</v>
      </c>
      <c r="O363">
        <f>HOUR(TIMEVALUE(RetailTransactions[[#This Row],[Time]]))</f>
        <v>14</v>
      </c>
    </row>
    <row r="364" spans="1:15">
      <c r="A364" t="s">
        <v>549</v>
      </c>
      <c r="B364" s="3">
        <v>46247</v>
      </c>
      <c r="C364" t="s">
        <v>305</v>
      </c>
      <c r="D364" t="s">
        <v>37</v>
      </c>
      <c r="E364" t="s">
        <v>38</v>
      </c>
      <c r="F364" t="s">
        <v>39</v>
      </c>
      <c r="G364">
        <v>1</v>
      </c>
      <c r="H364" s="4">
        <v>2.79</v>
      </c>
      <c r="I364" t="s">
        <v>19</v>
      </c>
      <c r="J364">
        <v>60</v>
      </c>
      <c r="K364">
        <v>0</v>
      </c>
      <c r="L364">
        <v>6</v>
      </c>
      <c r="M364" s="5">
        <v>5</v>
      </c>
      <c r="N364" s="4">
        <f t="shared" si="5"/>
        <v>2.79</v>
      </c>
      <c r="O364">
        <f>HOUR(TIMEVALUE(RetailTransactions[[#This Row],[Time]]))</f>
        <v>13</v>
      </c>
    </row>
    <row r="365" spans="1:15">
      <c r="A365" t="s">
        <v>550</v>
      </c>
      <c r="B365" s="3">
        <v>46198</v>
      </c>
      <c r="C365" t="s">
        <v>292</v>
      </c>
      <c r="D365" t="s">
        <v>37</v>
      </c>
      <c r="E365" t="s">
        <v>23</v>
      </c>
      <c r="F365" t="s">
        <v>24</v>
      </c>
      <c r="G365">
        <v>2</v>
      </c>
      <c r="H365" s="4">
        <v>0.81</v>
      </c>
      <c r="I365" t="s">
        <v>30</v>
      </c>
      <c r="J365">
        <v>46</v>
      </c>
      <c r="K365">
        <v>1</v>
      </c>
      <c r="L365">
        <v>6</v>
      </c>
      <c r="M365" s="5">
        <v>1.3</v>
      </c>
      <c r="N365" s="4">
        <f t="shared" si="5"/>
        <v>1.62</v>
      </c>
      <c r="O365">
        <f>HOUR(TIMEVALUE(RetailTransactions[[#This Row],[Time]]))</f>
        <v>9</v>
      </c>
    </row>
    <row r="366" spans="1:15">
      <c r="A366" t="s">
        <v>551</v>
      </c>
      <c r="B366" s="3">
        <v>46175</v>
      </c>
      <c r="C366" t="s">
        <v>163</v>
      </c>
      <c r="D366" t="s">
        <v>22</v>
      </c>
      <c r="E366" t="s">
        <v>49</v>
      </c>
      <c r="F366" t="s">
        <v>50</v>
      </c>
      <c r="G366">
        <v>2</v>
      </c>
      <c r="H366" s="4">
        <v>3.95</v>
      </c>
      <c r="I366" t="s">
        <v>19</v>
      </c>
      <c r="J366">
        <v>29</v>
      </c>
      <c r="K366">
        <v>0</v>
      </c>
      <c r="L366">
        <v>6</v>
      </c>
      <c r="M366" s="5">
        <v>5.9</v>
      </c>
      <c r="N366" s="4">
        <f t="shared" si="5"/>
        <v>7.9</v>
      </c>
      <c r="O366">
        <f>HOUR(TIMEVALUE(RetailTransactions[[#This Row],[Time]]))</f>
        <v>17</v>
      </c>
    </row>
    <row r="367" spans="1:15">
      <c r="A367" t="s">
        <v>552</v>
      </c>
      <c r="B367" s="3">
        <v>46184</v>
      </c>
      <c r="C367" t="s">
        <v>89</v>
      </c>
      <c r="D367" t="s">
        <v>37</v>
      </c>
      <c r="E367" t="s">
        <v>23</v>
      </c>
      <c r="F367" t="s">
        <v>24</v>
      </c>
      <c r="G367">
        <v>4</v>
      </c>
      <c r="H367" s="4">
        <v>0.81</v>
      </c>
      <c r="I367" t="s">
        <v>30</v>
      </c>
      <c r="J367">
        <v>49</v>
      </c>
      <c r="K367">
        <v>0</v>
      </c>
      <c r="L367">
        <v>6</v>
      </c>
      <c r="M367" s="5">
        <v>1.4</v>
      </c>
      <c r="N367" s="4">
        <f t="shared" si="5"/>
        <v>3.24</v>
      </c>
      <c r="O367">
        <f>HOUR(TIMEVALUE(RetailTransactions[[#This Row],[Time]]))</f>
        <v>14</v>
      </c>
    </row>
    <row r="368" spans="1:15">
      <c r="A368" t="s">
        <v>553</v>
      </c>
      <c r="B368" s="3">
        <v>46176</v>
      </c>
      <c r="C368" t="s">
        <v>318</v>
      </c>
      <c r="D368" t="s">
        <v>16</v>
      </c>
      <c r="E368" t="s">
        <v>17</v>
      </c>
      <c r="F368" t="s">
        <v>18</v>
      </c>
      <c r="G368">
        <v>2</v>
      </c>
      <c r="H368" s="4">
        <v>1.75</v>
      </c>
      <c r="I368" t="s">
        <v>19</v>
      </c>
      <c r="J368">
        <v>9</v>
      </c>
      <c r="K368">
        <v>0</v>
      </c>
      <c r="L368">
        <v>8</v>
      </c>
      <c r="M368" s="5">
        <v>4.9000000000000004</v>
      </c>
      <c r="N368" s="4">
        <f t="shared" si="5"/>
        <v>3.5</v>
      </c>
      <c r="O368">
        <f>HOUR(TIMEVALUE(RetailTransactions[[#This Row],[Time]]))</f>
        <v>12</v>
      </c>
    </row>
    <row r="369" spans="1:15">
      <c r="A369" t="s">
        <v>554</v>
      </c>
      <c r="B369" s="3">
        <v>46242</v>
      </c>
      <c r="C369" t="s">
        <v>119</v>
      </c>
      <c r="D369" t="s">
        <v>66</v>
      </c>
      <c r="E369" t="s">
        <v>85</v>
      </c>
      <c r="F369" t="s">
        <v>18</v>
      </c>
      <c r="G369">
        <v>1</v>
      </c>
      <c r="H369" s="4">
        <v>2.4900000000000002</v>
      </c>
      <c r="I369" t="s">
        <v>19</v>
      </c>
      <c r="J369">
        <v>52</v>
      </c>
      <c r="K369">
        <v>0</v>
      </c>
      <c r="L369">
        <v>6</v>
      </c>
      <c r="M369" s="5">
        <v>1</v>
      </c>
      <c r="N369" s="4">
        <f t="shared" si="5"/>
        <v>2.4900000000000002</v>
      </c>
      <c r="O369">
        <f>HOUR(TIMEVALUE(RetailTransactions[[#This Row],[Time]]))</f>
        <v>10</v>
      </c>
    </row>
    <row r="370" spans="1:15">
      <c r="A370" t="s">
        <v>555</v>
      </c>
      <c r="B370" s="3">
        <v>46214</v>
      </c>
      <c r="C370" t="s">
        <v>256</v>
      </c>
      <c r="D370" t="s">
        <v>66</v>
      </c>
      <c r="E370" t="s">
        <v>78</v>
      </c>
      <c r="F370" t="s">
        <v>39</v>
      </c>
      <c r="G370">
        <v>4</v>
      </c>
      <c r="H370" s="4">
        <v>1.55</v>
      </c>
      <c r="I370" t="s">
        <v>19</v>
      </c>
      <c r="J370">
        <v>6</v>
      </c>
      <c r="K370">
        <v>0</v>
      </c>
      <c r="L370">
        <v>4</v>
      </c>
      <c r="M370" s="5">
        <v>3.7</v>
      </c>
      <c r="N370" s="4">
        <f t="shared" si="5"/>
        <v>6.2</v>
      </c>
      <c r="O370">
        <f>HOUR(TIMEVALUE(RetailTransactions[[#This Row],[Time]]))</f>
        <v>8</v>
      </c>
    </row>
    <row r="371" spans="1:15">
      <c r="A371" t="s">
        <v>556</v>
      </c>
      <c r="B371" s="3">
        <v>46232</v>
      </c>
      <c r="C371" t="s">
        <v>68</v>
      </c>
      <c r="D371" t="s">
        <v>16</v>
      </c>
      <c r="E371" t="s">
        <v>115</v>
      </c>
      <c r="F371" t="s">
        <v>29</v>
      </c>
      <c r="G371">
        <v>2</v>
      </c>
      <c r="H371" s="4">
        <v>3.39</v>
      </c>
      <c r="I371" t="s">
        <v>30</v>
      </c>
      <c r="J371">
        <v>52</v>
      </c>
      <c r="K371">
        <v>0</v>
      </c>
      <c r="L371">
        <v>6</v>
      </c>
      <c r="M371" s="5">
        <v>1.1000000000000001</v>
      </c>
      <c r="N371" s="4">
        <f t="shared" si="5"/>
        <v>6.78</v>
      </c>
      <c r="O371">
        <f>HOUR(TIMEVALUE(RetailTransactions[[#This Row],[Time]]))</f>
        <v>16</v>
      </c>
    </row>
    <row r="372" spans="1:15">
      <c r="A372" t="s">
        <v>557</v>
      </c>
      <c r="B372" s="3">
        <v>46262</v>
      </c>
      <c r="C372" t="s">
        <v>204</v>
      </c>
      <c r="D372" t="s">
        <v>72</v>
      </c>
      <c r="E372" t="s">
        <v>115</v>
      </c>
      <c r="F372" t="s">
        <v>29</v>
      </c>
      <c r="G372">
        <v>1</v>
      </c>
      <c r="H372" s="4">
        <v>3.39</v>
      </c>
      <c r="I372" t="s">
        <v>30</v>
      </c>
      <c r="J372">
        <v>25</v>
      </c>
      <c r="K372">
        <v>0</v>
      </c>
      <c r="L372">
        <v>5</v>
      </c>
      <c r="M372" s="5">
        <v>4.3</v>
      </c>
      <c r="N372" s="4">
        <f t="shared" si="5"/>
        <v>3.39</v>
      </c>
      <c r="O372">
        <f>HOUR(TIMEVALUE(RetailTransactions[[#This Row],[Time]]))</f>
        <v>14</v>
      </c>
    </row>
    <row r="373" spans="1:15">
      <c r="A373" t="s">
        <v>558</v>
      </c>
      <c r="B373" s="3">
        <v>46202</v>
      </c>
      <c r="C373" t="s">
        <v>45</v>
      </c>
      <c r="D373" t="s">
        <v>33</v>
      </c>
      <c r="E373" t="s">
        <v>69</v>
      </c>
      <c r="F373" t="s">
        <v>43</v>
      </c>
      <c r="G373">
        <v>1</v>
      </c>
      <c r="H373" s="4">
        <v>1.69</v>
      </c>
      <c r="I373" t="s">
        <v>30</v>
      </c>
      <c r="J373">
        <v>53</v>
      </c>
      <c r="K373">
        <v>0</v>
      </c>
      <c r="L373">
        <v>6</v>
      </c>
      <c r="M373" s="5">
        <v>5.7</v>
      </c>
      <c r="N373" s="4">
        <f t="shared" si="5"/>
        <v>1.69</v>
      </c>
      <c r="O373">
        <f>HOUR(TIMEVALUE(RetailTransactions[[#This Row],[Time]]))</f>
        <v>13</v>
      </c>
    </row>
    <row r="374" spans="1:15">
      <c r="A374" t="s">
        <v>559</v>
      </c>
      <c r="B374" s="3">
        <v>46188</v>
      </c>
      <c r="C374" t="s">
        <v>560</v>
      </c>
      <c r="D374" t="s">
        <v>33</v>
      </c>
      <c r="E374" t="s">
        <v>46</v>
      </c>
      <c r="F374" t="s">
        <v>24</v>
      </c>
      <c r="G374">
        <v>2</v>
      </c>
      <c r="H374" s="4">
        <v>1.52</v>
      </c>
      <c r="I374" t="s">
        <v>30</v>
      </c>
      <c r="J374">
        <v>11</v>
      </c>
      <c r="K374">
        <v>2</v>
      </c>
      <c r="L374">
        <v>4</v>
      </c>
      <c r="M374" s="5">
        <v>4.8</v>
      </c>
      <c r="N374" s="4">
        <f t="shared" si="5"/>
        <v>3.04</v>
      </c>
      <c r="O374">
        <f>HOUR(TIMEVALUE(RetailTransactions[[#This Row],[Time]]))</f>
        <v>21</v>
      </c>
    </row>
    <row r="375" spans="1:15">
      <c r="A375" t="s">
        <v>561</v>
      </c>
      <c r="B375" s="3">
        <v>46176</v>
      </c>
      <c r="C375" t="s">
        <v>562</v>
      </c>
      <c r="D375" t="s">
        <v>16</v>
      </c>
      <c r="E375" t="s">
        <v>115</v>
      </c>
      <c r="F375" t="s">
        <v>29</v>
      </c>
      <c r="G375">
        <v>2</v>
      </c>
      <c r="H375" s="4">
        <v>3.99</v>
      </c>
      <c r="I375" t="s">
        <v>19</v>
      </c>
      <c r="J375">
        <v>12</v>
      </c>
      <c r="K375">
        <v>0</v>
      </c>
      <c r="L375">
        <v>5</v>
      </c>
      <c r="M375" s="5">
        <v>2.5</v>
      </c>
      <c r="N375" s="4">
        <f t="shared" si="5"/>
        <v>7.98</v>
      </c>
      <c r="O375">
        <f>HOUR(TIMEVALUE(RetailTransactions[[#This Row],[Time]]))</f>
        <v>10</v>
      </c>
    </row>
    <row r="376" spans="1:15">
      <c r="A376" t="s">
        <v>563</v>
      </c>
      <c r="B376" s="3">
        <v>46256</v>
      </c>
      <c r="C376" t="s">
        <v>178</v>
      </c>
      <c r="D376" t="s">
        <v>66</v>
      </c>
      <c r="E376" t="s">
        <v>42</v>
      </c>
      <c r="F376" t="s">
        <v>43</v>
      </c>
      <c r="G376">
        <v>2</v>
      </c>
      <c r="H376" s="4">
        <v>1.18</v>
      </c>
      <c r="I376" t="s">
        <v>30</v>
      </c>
      <c r="J376">
        <v>37</v>
      </c>
      <c r="K376">
        <v>2</v>
      </c>
      <c r="L376">
        <v>5</v>
      </c>
      <c r="M376" s="5">
        <v>2.8</v>
      </c>
      <c r="N376" s="4">
        <f t="shared" si="5"/>
        <v>2.36</v>
      </c>
      <c r="O376">
        <f>HOUR(TIMEVALUE(RetailTransactions[[#This Row],[Time]]))</f>
        <v>15</v>
      </c>
    </row>
    <row r="377" spans="1:15">
      <c r="A377" t="s">
        <v>564</v>
      </c>
      <c r="B377" s="3">
        <v>46215</v>
      </c>
      <c r="C377" t="s">
        <v>560</v>
      </c>
      <c r="D377" t="s">
        <v>27</v>
      </c>
      <c r="E377" t="s">
        <v>63</v>
      </c>
      <c r="F377" t="s">
        <v>50</v>
      </c>
      <c r="G377">
        <v>1</v>
      </c>
      <c r="H377" s="4">
        <v>3.49</v>
      </c>
      <c r="I377" t="s">
        <v>19</v>
      </c>
      <c r="J377">
        <v>27</v>
      </c>
      <c r="K377">
        <v>1</v>
      </c>
      <c r="L377">
        <v>4</v>
      </c>
      <c r="M377" s="5">
        <v>4.3</v>
      </c>
      <c r="N377" s="4">
        <f t="shared" si="5"/>
        <v>3.49</v>
      </c>
      <c r="O377">
        <f>HOUR(TIMEVALUE(RetailTransactions[[#This Row],[Time]]))</f>
        <v>21</v>
      </c>
    </row>
    <row r="378" spans="1:15">
      <c r="A378" t="s">
        <v>565</v>
      </c>
      <c r="B378" s="3">
        <v>46208</v>
      </c>
      <c r="C378" t="s">
        <v>297</v>
      </c>
      <c r="D378" t="s">
        <v>27</v>
      </c>
      <c r="E378" t="s">
        <v>38</v>
      </c>
      <c r="F378" t="s">
        <v>39</v>
      </c>
      <c r="G378">
        <v>1</v>
      </c>
      <c r="H378" s="4">
        <v>2.79</v>
      </c>
      <c r="I378" t="s">
        <v>19</v>
      </c>
      <c r="J378">
        <v>9</v>
      </c>
      <c r="K378">
        <v>0</v>
      </c>
      <c r="L378">
        <v>6</v>
      </c>
      <c r="M378" s="5">
        <v>3.1</v>
      </c>
      <c r="N378" s="4">
        <f t="shared" si="5"/>
        <v>2.79</v>
      </c>
      <c r="O378">
        <f>HOUR(TIMEVALUE(RetailTransactions[[#This Row],[Time]]))</f>
        <v>19</v>
      </c>
    </row>
    <row r="379" spans="1:15">
      <c r="A379" t="s">
        <v>566</v>
      </c>
      <c r="B379" s="3">
        <v>46251</v>
      </c>
      <c r="C379" t="s">
        <v>567</v>
      </c>
      <c r="D379" t="s">
        <v>33</v>
      </c>
      <c r="E379" t="s">
        <v>85</v>
      </c>
      <c r="F379" t="s">
        <v>18</v>
      </c>
      <c r="G379">
        <v>1</v>
      </c>
      <c r="H379" s="4">
        <v>2.4900000000000002</v>
      </c>
      <c r="I379" t="s">
        <v>19</v>
      </c>
      <c r="J379">
        <v>25</v>
      </c>
      <c r="K379">
        <v>0</v>
      </c>
      <c r="L379">
        <v>6</v>
      </c>
      <c r="M379" s="5">
        <v>1.9</v>
      </c>
      <c r="N379" s="4">
        <f t="shared" si="5"/>
        <v>2.4900000000000002</v>
      </c>
      <c r="O379">
        <f>HOUR(TIMEVALUE(RetailTransactions[[#This Row],[Time]]))</f>
        <v>9</v>
      </c>
    </row>
    <row r="380" spans="1:15">
      <c r="A380" t="s">
        <v>568</v>
      </c>
      <c r="B380" s="3">
        <v>46202</v>
      </c>
      <c r="C380" t="s">
        <v>62</v>
      </c>
      <c r="D380" t="s">
        <v>33</v>
      </c>
      <c r="E380" t="s">
        <v>115</v>
      </c>
      <c r="F380" t="s">
        <v>29</v>
      </c>
      <c r="G380">
        <v>1</v>
      </c>
      <c r="H380" s="4">
        <v>3.39</v>
      </c>
      <c r="I380" t="s">
        <v>30</v>
      </c>
      <c r="J380">
        <v>46</v>
      </c>
      <c r="K380">
        <v>0</v>
      </c>
      <c r="L380">
        <v>7</v>
      </c>
      <c r="M380" s="5">
        <v>6</v>
      </c>
      <c r="N380" s="4">
        <f t="shared" si="5"/>
        <v>3.39</v>
      </c>
      <c r="O380">
        <f>HOUR(TIMEVALUE(RetailTransactions[[#This Row],[Time]]))</f>
        <v>18</v>
      </c>
    </row>
    <row r="381" spans="1:15">
      <c r="A381" t="s">
        <v>569</v>
      </c>
      <c r="B381" s="3">
        <v>46199</v>
      </c>
      <c r="C381" t="s">
        <v>258</v>
      </c>
      <c r="D381" t="s">
        <v>72</v>
      </c>
      <c r="E381" t="s">
        <v>63</v>
      </c>
      <c r="F381" t="s">
        <v>50</v>
      </c>
      <c r="G381">
        <v>4</v>
      </c>
      <c r="H381" s="4">
        <v>3.49</v>
      </c>
      <c r="I381" t="s">
        <v>19</v>
      </c>
      <c r="J381">
        <v>57</v>
      </c>
      <c r="K381">
        <v>0</v>
      </c>
      <c r="L381">
        <v>7</v>
      </c>
      <c r="M381" s="5">
        <v>2.9</v>
      </c>
      <c r="N381" s="4">
        <f t="shared" si="5"/>
        <v>13.96</v>
      </c>
      <c r="O381">
        <f>HOUR(TIMEVALUE(RetailTransactions[[#This Row],[Time]]))</f>
        <v>16</v>
      </c>
    </row>
    <row r="382" spans="1:15">
      <c r="A382" t="s">
        <v>570</v>
      </c>
      <c r="B382" s="3">
        <v>46252</v>
      </c>
      <c r="C382" t="s">
        <v>460</v>
      </c>
      <c r="D382" t="s">
        <v>22</v>
      </c>
      <c r="E382" t="s">
        <v>28</v>
      </c>
      <c r="F382" t="s">
        <v>29</v>
      </c>
      <c r="G382">
        <v>2</v>
      </c>
      <c r="H382" s="4">
        <v>3.29</v>
      </c>
      <c r="I382" t="s">
        <v>19</v>
      </c>
      <c r="J382">
        <v>12</v>
      </c>
      <c r="K382">
        <v>0</v>
      </c>
      <c r="L382">
        <v>8</v>
      </c>
      <c r="M382" s="5">
        <v>4.5999999999999996</v>
      </c>
      <c r="N382" s="4">
        <f t="shared" si="5"/>
        <v>6.58</v>
      </c>
      <c r="O382">
        <f>HOUR(TIMEVALUE(RetailTransactions[[#This Row],[Time]]))</f>
        <v>18</v>
      </c>
    </row>
    <row r="383" spans="1:15">
      <c r="A383" t="s">
        <v>571</v>
      </c>
      <c r="B383" s="3">
        <v>46203</v>
      </c>
      <c r="C383" t="s">
        <v>519</v>
      </c>
      <c r="D383" t="s">
        <v>22</v>
      </c>
      <c r="E383" t="s">
        <v>69</v>
      </c>
      <c r="F383" t="s">
        <v>43</v>
      </c>
      <c r="G383">
        <v>2</v>
      </c>
      <c r="H383" s="4">
        <v>1.69</v>
      </c>
      <c r="I383" t="s">
        <v>30</v>
      </c>
      <c r="J383">
        <v>41</v>
      </c>
      <c r="K383">
        <v>1</v>
      </c>
      <c r="L383">
        <v>7</v>
      </c>
      <c r="M383" s="5">
        <v>3.5</v>
      </c>
      <c r="N383" s="4">
        <f t="shared" si="5"/>
        <v>3.38</v>
      </c>
      <c r="O383">
        <f>HOUR(TIMEVALUE(RetailTransactions[[#This Row],[Time]]))</f>
        <v>13</v>
      </c>
    </row>
    <row r="384" spans="1:15">
      <c r="A384" t="s">
        <v>572</v>
      </c>
      <c r="B384" s="3">
        <v>46242</v>
      </c>
      <c r="C384" t="s">
        <v>275</v>
      </c>
      <c r="D384" t="s">
        <v>66</v>
      </c>
      <c r="E384" t="s">
        <v>115</v>
      </c>
      <c r="F384" t="s">
        <v>29</v>
      </c>
      <c r="G384">
        <v>1</v>
      </c>
      <c r="H384" s="4">
        <v>3.99</v>
      </c>
      <c r="I384" t="s">
        <v>19</v>
      </c>
      <c r="J384">
        <v>57</v>
      </c>
      <c r="K384">
        <v>0</v>
      </c>
      <c r="L384">
        <v>4</v>
      </c>
      <c r="M384" s="5">
        <v>4.4000000000000004</v>
      </c>
      <c r="N384" s="4">
        <f t="shared" si="5"/>
        <v>3.99</v>
      </c>
      <c r="O384">
        <f>HOUR(TIMEVALUE(RetailTransactions[[#This Row],[Time]]))</f>
        <v>14</v>
      </c>
    </row>
    <row r="385" spans="1:15">
      <c r="A385" t="s">
        <v>573</v>
      </c>
      <c r="B385" s="3">
        <v>46224</v>
      </c>
      <c r="C385" t="s">
        <v>91</v>
      </c>
      <c r="D385" t="s">
        <v>22</v>
      </c>
      <c r="E385" t="s">
        <v>78</v>
      </c>
      <c r="F385" t="s">
        <v>39</v>
      </c>
      <c r="G385">
        <v>1</v>
      </c>
      <c r="H385" s="4">
        <v>1.55</v>
      </c>
      <c r="I385" t="s">
        <v>19</v>
      </c>
      <c r="J385">
        <v>12</v>
      </c>
      <c r="K385">
        <v>0</v>
      </c>
      <c r="L385">
        <v>9</v>
      </c>
      <c r="M385" s="5">
        <v>4.0999999999999996</v>
      </c>
      <c r="N385" s="4">
        <f t="shared" si="5"/>
        <v>1.55</v>
      </c>
      <c r="O385">
        <f>HOUR(TIMEVALUE(RetailTransactions[[#This Row],[Time]]))</f>
        <v>12</v>
      </c>
    </row>
    <row r="386" spans="1:15">
      <c r="A386" t="s">
        <v>574</v>
      </c>
      <c r="B386" s="3">
        <v>46177</v>
      </c>
      <c r="C386" t="s">
        <v>307</v>
      </c>
      <c r="D386" t="s">
        <v>37</v>
      </c>
      <c r="E386" t="s">
        <v>42</v>
      </c>
      <c r="F386" t="s">
        <v>43</v>
      </c>
      <c r="G386">
        <v>1</v>
      </c>
      <c r="H386" s="4">
        <v>1.39</v>
      </c>
      <c r="I386" t="s">
        <v>19</v>
      </c>
      <c r="J386">
        <v>24</v>
      </c>
      <c r="K386">
        <v>0</v>
      </c>
      <c r="L386">
        <v>9</v>
      </c>
      <c r="M386" s="5">
        <v>6.4</v>
      </c>
      <c r="N386" s="4">
        <f t="shared" ref="N386:N449" si="6">G386*H386</f>
        <v>1.39</v>
      </c>
      <c r="O386">
        <f>HOUR(TIMEVALUE(RetailTransactions[[#This Row],[Time]]))</f>
        <v>19</v>
      </c>
    </row>
    <row r="387" spans="1:15">
      <c r="A387" t="s">
        <v>575</v>
      </c>
      <c r="B387" s="3">
        <v>46230</v>
      </c>
      <c r="C387" t="s">
        <v>59</v>
      </c>
      <c r="D387" t="s">
        <v>33</v>
      </c>
      <c r="E387" t="s">
        <v>23</v>
      </c>
      <c r="F387" t="s">
        <v>24</v>
      </c>
      <c r="G387">
        <v>1</v>
      </c>
      <c r="H387" s="4">
        <v>0.95</v>
      </c>
      <c r="I387" t="s">
        <v>19</v>
      </c>
      <c r="J387">
        <v>19</v>
      </c>
      <c r="K387">
        <v>0</v>
      </c>
      <c r="L387">
        <v>7</v>
      </c>
      <c r="M387" s="5">
        <v>6</v>
      </c>
      <c r="N387" s="4">
        <f t="shared" si="6"/>
        <v>0.95</v>
      </c>
      <c r="O387">
        <f>HOUR(TIMEVALUE(RetailTransactions[[#This Row],[Time]]))</f>
        <v>12</v>
      </c>
    </row>
    <row r="388" spans="1:15">
      <c r="A388" t="s">
        <v>576</v>
      </c>
      <c r="B388" s="3">
        <v>46199</v>
      </c>
      <c r="C388" t="s">
        <v>89</v>
      </c>
      <c r="D388" t="s">
        <v>72</v>
      </c>
      <c r="E388" t="s">
        <v>38</v>
      </c>
      <c r="F388" t="s">
        <v>39</v>
      </c>
      <c r="G388">
        <v>2</v>
      </c>
      <c r="H388" s="4">
        <v>2.37</v>
      </c>
      <c r="I388" t="s">
        <v>30</v>
      </c>
      <c r="J388">
        <v>34</v>
      </c>
      <c r="K388">
        <v>0</v>
      </c>
      <c r="L388">
        <v>6</v>
      </c>
      <c r="M388" s="5">
        <v>3</v>
      </c>
      <c r="N388" s="4">
        <f t="shared" si="6"/>
        <v>4.74</v>
      </c>
      <c r="O388">
        <f>HOUR(TIMEVALUE(RetailTransactions[[#This Row],[Time]]))</f>
        <v>14</v>
      </c>
    </row>
    <row r="389" spans="1:15">
      <c r="A389" t="s">
        <v>577</v>
      </c>
      <c r="B389" s="3">
        <v>46245</v>
      </c>
      <c r="C389" t="s">
        <v>347</v>
      </c>
      <c r="D389" t="s">
        <v>22</v>
      </c>
      <c r="E389" t="s">
        <v>42</v>
      </c>
      <c r="F389" t="s">
        <v>43</v>
      </c>
      <c r="G389">
        <v>1</v>
      </c>
      <c r="H389" s="4">
        <v>1.39</v>
      </c>
      <c r="I389" t="s">
        <v>19</v>
      </c>
      <c r="J389">
        <v>35</v>
      </c>
      <c r="K389">
        <v>1</v>
      </c>
      <c r="L389">
        <v>6</v>
      </c>
      <c r="M389" s="5">
        <v>4.2</v>
      </c>
      <c r="N389" s="4">
        <f t="shared" si="6"/>
        <v>1.39</v>
      </c>
      <c r="O389">
        <f>HOUR(TIMEVALUE(RetailTransactions[[#This Row],[Time]]))</f>
        <v>12</v>
      </c>
    </row>
    <row r="390" spans="1:15">
      <c r="A390" t="s">
        <v>578</v>
      </c>
      <c r="B390" s="3">
        <v>46264</v>
      </c>
      <c r="C390" t="s">
        <v>93</v>
      </c>
      <c r="D390" t="s">
        <v>27</v>
      </c>
      <c r="E390" t="s">
        <v>115</v>
      </c>
      <c r="F390" t="s">
        <v>29</v>
      </c>
      <c r="G390">
        <v>1</v>
      </c>
      <c r="H390" s="4">
        <v>3.99</v>
      </c>
      <c r="I390" t="s">
        <v>19</v>
      </c>
      <c r="J390">
        <v>43</v>
      </c>
      <c r="K390">
        <v>0</v>
      </c>
      <c r="L390">
        <v>8</v>
      </c>
      <c r="M390" s="5">
        <v>5.8</v>
      </c>
      <c r="N390" s="4">
        <f t="shared" si="6"/>
        <v>3.99</v>
      </c>
      <c r="O390">
        <f>HOUR(TIMEVALUE(RetailTransactions[[#This Row],[Time]]))</f>
        <v>12</v>
      </c>
    </row>
    <row r="391" spans="1:15">
      <c r="A391" t="s">
        <v>579</v>
      </c>
      <c r="B391" s="3">
        <v>46215</v>
      </c>
      <c r="C391" t="s">
        <v>108</v>
      </c>
      <c r="D391" t="s">
        <v>27</v>
      </c>
      <c r="E391" t="s">
        <v>60</v>
      </c>
      <c r="F391" t="s">
        <v>29</v>
      </c>
      <c r="G391">
        <v>1</v>
      </c>
      <c r="H391" s="4">
        <v>2.29</v>
      </c>
      <c r="I391" t="s">
        <v>30</v>
      </c>
      <c r="J391">
        <v>58</v>
      </c>
      <c r="K391">
        <v>0</v>
      </c>
      <c r="L391">
        <v>6</v>
      </c>
      <c r="M391" s="5">
        <v>1.4</v>
      </c>
      <c r="N391" s="4">
        <f t="shared" si="6"/>
        <v>2.29</v>
      </c>
      <c r="O391">
        <f>HOUR(TIMEVALUE(RetailTransactions[[#This Row],[Time]]))</f>
        <v>14</v>
      </c>
    </row>
    <row r="392" spans="1:15">
      <c r="A392" t="s">
        <v>580</v>
      </c>
      <c r="B392" s="3">
        <v>46230</v>
      </c>
      <c r="C392" t="s">
        <v>91</v>
      </c>
      <c r="D392" t="s">
        <v>33</v>
      </c>
      <c r="E392" t="s">
        <v>46</v>
      </c>
      <c r="F392" t="s">
        <v>24</v>
      </c>
      <c r="G392">
        <v>2</v>
      </c>
      <c r="H392" s="4">
        <v>1.52</v>
      </c>
      <c r="I392" t="s">
        <v>30</v>
      </c>
      <c r="J392">
        <v>6</v>
      </c>
      <c r="K392">
        <v>3</v>
      </c>
      <c r="L392">
        <v>6</v>
      </c>
      <c r="M392" s="5">
        <v>4.0999999999999996</v>
      </c>
      <c r="N392" s="4">
        <f t="shared" si="6"/>
        <v>3.04</v>
      </c>
      <c r="O392">
        <f>HOUR(TIMEVALUE(RetailTransactions[[#This Row],[Time]]))</f>
        <v>12</v>
      </c>
    </row>
    <row r="393" spans="1:15">
      <c r="A393" t="s">
        <v>581</v>
      </c>
      <c r="B393" s="3">
        <v>46233</v>
      </c>
      <c r="C393" t="s">
        <v>117</v>
      </c>
      <c r="D393" t="s">
        <v>37</v>
      </c>
      <c r="E393" t="s">
        <v>42</v>
      </c>
      <c r="F393" t="s">
        <v>43</v>
      </c>
      <c r="G393">
        <v>1</v>
      </c>
      <c r="H393" s="4">
        <v>1.39</v>
      </c>
      <c r="I393" t="s">
        <v>19</v>
      </c>
      <c r="J393">
        <v>38</v>
      </c>
      <c r="K393">
        <v>0</v>
      </c>
      <c r="L393">
        <v>7</v>
      </c>
      <c r="M393" s="5">
        <v>4.5999999999999996</v>
      </c>
      <c r="N393" s="4">
        <f t="shared" si="6"/>
        <v>1.39</v>
      </c>
      <c r="O393">
        <f>HOUR(TIMEVALUE(RetailTransactions[[#This Row],[Time]]))</f>
        <v>18</v>
      </c>
    </row>
    <row r="394" spans="1:15">
      <c r="A394" t="s">
        <v>582</v>
      </c>
      <c r="B394" s="3">
        <v>46219</v>
      </c>
      <c r="C394" t="s">
        <v>401</v>
      </c>
      <c r="D394" t="s">
        <v>37</v>
      </c>
      <c r="E394" t="s">
        <v>115</v>
      </c>
      <c r="F394" t="s">
        <v>29</v>
      </c>
      <c r="G394">
        <v>1</v>
      </c>
      <c r="H394" s="4">
        <v>3.39</v>
      </c>
      <c r="I394" t="s">
        <v>30</v>
      </c>
      <c r="J394">
        <v>19</v>
      </c>
      <c r="K394">
        <v>0</v>
      </c>
      <c r="L394">
        <v>6</v>
      </c>
      <c r="M394" s="5">
        <v>2.2999999999999998</v>
      </c>
      <c r="N394" s="4">
        <f t="shared" si="6"/>
        <v>3.39</v>
      </c>
      <c r="O394">
        <f>HOUR(TIMEVALUE(RetailTransactions[[#This Row],[Time]]))</f>
        <v>8</v>
      </c>
    </row>
    <row r="395" spans="1:15">
      <c r="A395" t="s">
        <v>583</v>
      </c>
      <c r="B395" s="3">
        <v>46232</v>
      </c>
      <c r="C395" t="s">
        <v>59</v>
      </c>
      <c r="D395" t="s">
        <v>16</v>
      </c>
      <c r="E395" t="s">
        <v>60</v>
      </c>
      <c r="F395" t="s">
        <v>29</v>
      </c>
      <c r="G395">
        <v>1</v>
      </c>
      <c r="H395" s="4">
        <v>2.29</v>
      </c>
      <c r="I395" t="s">
        <v>30</v>
      </c>
      <c r="J395">
        <v>16</v>
      </c>
      <c r="K395">
        <v>0</v>
      </c>
      <c r="L395">
        <v>6</v>
      </c>
      <c r="M395" s="5">
        <v>4</v>
      </c>
      <c r="N395" s="4">
        <f t="shared" si="6"/>
        <v>2.29</v>
      </c>
      <c r="O395">
        <f>HOUR(TIMEVALUE(RetailTransactions[[#This Row],[Time]]))</f>
        <v>12</v>
      </c>
    </row>
    <row r="396" spans="1:15">
      <c r="A396" t="s">
        <v>584</v>
      </c>
      <c r="B396" s="3">
        <v>46243</v>
      </c>
      <c r="C396" t="s">
        <v>93</v>
      </c>
      <c r="D396" t="s">
        <v>27</v>
      </c>
      <c r="E396" t="s">
        <v>23</v>
      </c>
      <c r="F396" t="s">
        <v>24</v>
      </c>
      <c r="G396">
        <v>1</v>
      </c>
      <c r="H396" s="4">
        <v>0.95</v>
      </c>
      <c r="I396" t="s">
        <v>19</v>
      </c>
      <c r="J396">
        <v>4</v>
      </c>
      <c r="K396">
        <v>3</v>
      </c>
      <c r="L396">
        <v>7</v>
      </c>
      <c r="M396" s="5">
        <v>3.6</v>
      </c>
      <c r="N396" s="4">
        <f t="shared" si="6"/>
        <v>0.95</v>
      </c>
      <c r="O396">
        <f>HOUR(TIMEVALUE(RetailTransactions[[#This Row],[Time]]))</f>
        <v>12</v>
      </c>
    </row>
    <row r="397" spans="1:15">
      <c r="A397" t="s">
        <v>585</v>
      </c>
      <c r="B397" s="3">
        <v>46175</v>
      </c>
      <c r="C397" t="s">
        <v>161</v>
      </c>
      <c r="D397" t="s">
        <v>22</v>
      </c>
      <c r="E397" t="s">
        <v>23</v>
      </c>
      <c r="F397" t="s">
        <v>24</v>
      </c>
      <c r="G397">
        <v>3</v>
      </c>
      <c r="H397" s="4">
        <v>0.95</v>
      </c>
      <c r="I397" t="s">
        <v>19</v>
      </c>
      <c r="J397">
        <v>45</v>
      </c>
      <c r="K397">
        <v>0</v>
      </c>
      <c r="L397">
        <v>9</v>
      </c>
      <c r="M397" s="5">
        <v>4.2</v>
      </c>
      <c r="N397" s="4">
        <f t="shared" si="6"/>
        <v>2.8499999999999996</v>
      </c>
      <c r="O397">
        <f>HOUR(TIMEVALUE(RetailTransactions[[#This Row],[Time]]))</f>
        <v>19</v>
      </c>
    </row>
    <row r="398" spans="1:15">
      <c r="A398" t="s">
        <v>586</v>
      </c>
      <c r="B398" s="3">
        <v>46249</v>
      </c>
      <c r="C398" t="s">
        <v>166</v>
      </c>
      <c r="D398" t="s">
        <v>66</v>
      </c>
      <c r="E398" t="s">
        <v>57</v>
      </c>
      <c r="F398" t="s">
        <v>43</v>
      </c>
      <c r="G398">
        <v>1</v>
      </c>
      <c r="H398" s="4">
        <v>1.69</v>
      </c>
      <c r="I398" t="s">
        <v>19</v>
      </c>
      <c r="J398">
        <v>30</v>
      </c>
      <c r="K398">
        <v>0</v>
      </c>
      <c r="L398">
        <v>5</v>
      </c>
      <c r="M398" s="5">
        <v>3.1</v>
      </c>
      <c r="N398" s="4">
        <f t="shared" si="6"/>
        <v>1.69</v>
      </c>
      <c r="O398">
        <f>HOUR(TIMEVALUE(RetailTransactions[[#This Row],[Time]]))</f>
        <v>7</v>
      </c>
    </row>
    <row r="399" spans="1:15">
      <c r="A399" t="s">
        <v>587</v>
      </c>
      <c r="B399" s="3">
        <v>46245</v>
      </c>
      <c r="C399" t="s">
        <v>186</v>
      </c>
      <c r="D399" t="s">
        <v>22</v>
      </c>
      <c r="E399" t="s">
        <v>42</v>
      </c>
      <c r="F399" t="s">
        <v>43</v>
      </c>
      <c r="G399">
        <v>2</v>
      </c>
      <c r="H399" s="4">
        <v>1.39</v>
      </c>
      <c r="I399" t="s">
        <v>19</v>
      </c>
      <c r="J399">
        <v>12</v>
      </c>
      <c r="K399">
        <v>1</v>
      </c>
      <c r="L399">
        <v>7</v>
      </c>
      <c r="M399" s="5">
        <v>5.7</v>
      </c>
      <c r="N399" s="4">
        <f t="shared" si="6"/>
        <v>2.78</v>
      </c>
      <c r="O399">
        <f>HOUR(TIMEVALUE(RetailTransactions[[#This Row],[Time]]))</f>
        <v>18</v>
      </c>
    </row>
    <row r="400" spans="1:15">
      <c r="A400" t="s">
        <v>588</v>
      </c>
      <c r="B400" s="3">
        <v>46218</v>
      </c>
      <c r="C400" t="s">
        <v>215</v>
      </c>
      <c r="D400" t="s">
        <v>16</v>
      </c>
      <c r="E400" t="s">
        <v>69</v>
      </c>
      <c r="F400" t="s">
        <v>43</v>
      </c>
      <c r="G400">
        <v>3</v>
      </c>
      <c r="H400" s="4">
        <v>1.99</v>
      </c>
      <c r="I400" t="s">
        <v>19</v>
      </c>
      <c r="J400">
        <v>17</v>
      </c>
      <c r="K400">
        <v>3</v>
      </c>
      <c r="L400">
        <v>7</v>
      </c>
      <c r="M400" s="5">
        <v>3.8</v>
      </c>
      <c r="N400" s="4">
        <f t="shared" si="6"/>
        <v>5.97</v>
      </c>
      <c r="O400">
        <f>HOUR(TIMEVALUE(RetailTransactions[[#This Row],[Time]]))</f>
        <v>12</v>
      </c>
    </row>
    <row r="401" spans="1:15">
      <c r="A401" t="s">
        <v>589</v>
      </c>
      <c r="B401" s="3">
        <v>46235</v>
      </c>
      <c r="C401" t="s">
        <v>590</v>
      </c>
      <c r="D401" t="s">
        <v>66</v>
      </c>
      <c r="E401" t="s">
        <v>69</v>
      </c>
      <c r="F401" t="s">
        <v>43</v>
      </c>
      <c r="G401">
        <v>1</v>
      </c>
      <c r="H401" s="4">
        <v>1.99</v>
      </c>
      <c r="I401" t="s">
        <v>19</v>
      </c>
      <c r="J401">
        <v>45</v>
      </c>
      <c r="K401">
        <v>2</v>
      </c>
      <c r="L401">
        <v>6</v>
      </c>
      <c r="M401" s="5">
        <v>3.7</v>
      </c>
      <c r="N401" s="4">
        <f t="shared" si="6"/>
        <v>1.99</v>
      </c>
      <c r="O401">
        <f>HOUR(TIMEVALUE(RetailTransactions[[#This Row],[Time]]))</f>
        <v>12</v>
      </c>
    </row>
    <row r="402" spans="1:15">
      <c r="A402" t="s">
        <v>591</v>
      </c>
      <c r="B402" s="3">
        <v>46255</v>
      </c>
      <c r="C402" t="s">
        <v>189</v>
      </c>
      <c r="D402" t="s">
        <v>72</v>
      </c>
      <c r="E402" t="s">
        <v>63</v>
      </c>
      <c r="F402" t="s">
        <v>50</v>
      </c>
      <c r="G402">
        <v>1</v>
      </c>
      <c r="H402" s="4">
        <v>3.49</v>
      </c>
      <c r="I402" t="s">
        <v>19</v>
      </c>
      <c r="J402">
        <v>17</v>
      </c>
      <c r="K402">
        <v>0</v>
      </c>
      <c r="L402">
        <v>9</v>
      </c>
      <c r="M402" s="5">
        <v>4.9000000000000004</v>
      </c>
      <c r="N402" s="4">
        <f t="shared" si="6"/>
        <v>3.49</v>
      </c>
      <c r="O402">
        <f>HOUR(TIMEVALUE(RetailTransactions[[#This Row],[Time]]))</f>
        <v>17</v>
      </c>
    </row>
    <row r="403" spans="1:15">
      <c r="A403" t="s">
        <v>592</v>
      </c>
      <c r="B403" s="3">
        <v>46247</v>
      </c>
      <c r="C403" t="s">
        <v>508</v>
      </c>
      <c r="D403" t="s">
        <v>37</v>
      </c>
      <c r="E403" t="s">
        <v>78</v>
      </c>
      <c r="F403" t="s">
        <v>39</v>
      </c>
      <c r="G403">
        <v>1</v>
      </c>
      <c r="H403" s="4">
        <v>1.55</v>
      </c>
      <c r="I403" t="s">
        <v>19</v>
      </c>
      <c r="J403">
        <v>47</v>
      </c>
      <c r="K403">
        <v>0</v>
      </c>
      <c r="L403">
        <v>7</v>
      </c>
      <c r="M403" s="5">
        <v>2.2000000000000002</v>
      </c>
      <c r="N403" s="4">
        <f t="shared" si="6"/>
        <v>1.55</v>
      </c>
      <c r="O403">
        <f>HOUR(TIMEVALUE(RetailTransactions[[#This Row],[Time]]))</f>
        <v>11</v>
      </c>
    </row>
    <row r="404" spans="1:15">
      <c r="A404" t="s">
        <v>593</v>
      </c>
      <c r="B404" s="3">
        <v>46185</v>
      </c>
      <c r="C404" t="s">
        <v>594</v>
      </c>
      <c r="D404" t="s">
        <v>72</v>
      </c>
      <c r="E404" t="s">
        <v>17</v>
      </c>
      <c r="F404" t="s">
        <v>18</v>
      </c>
      <c r="G404">
        <v>4</v>
      </c>
      <c r="H404" s="4">
        <v>1.75</v>
      </c>
      <c r="I404" t="s">
        <v>19</v>
      </c>
      <c r="J404">
        <v>23</v>
      </c>
      <c r="K404">
        <v>1</v>
      </c>
      <c r="L404">
        <v>7</v>
      </c>
      <c r="M404" s="5">
        <v>1.2</v>
      </c>
      <c r="N404" s="4">
        <f t="shared" si="6"/>
        <v>7</v>
      </c>
      <c r="O404">
        <f>HOUR(TIMEVALUE(RetailTransactions[[#This Row],[Time]]))</f>
        <v>9</v>
      </c>
    </row>
    <row r="405" spans="1:15">
      <c r="A405" t="s">
        <v>595</v>
      </c>
      <c r="B405" s="3">
        <v>46210</v>
      </c>
      <c r="C405" t="s">
        <v>289</v>
      </c>
      <c r="D405" t="s">
        <v>22</v>
      </c>
      <c r="E405" t="s">
        <v>63</v>
      </c>
      <c r="F405" t="s">
        <v>50</v>
      </c>
      <c r="G405">
        <v>3</v>
      </c>
      <c r="H405" s="4">
        <v>3.49</v>
      </c>
      <c r="I405" t="s">
        <v>19</v>
      </c>
      <c r="J405">
        <v>39</v>
      </c>
      <c r="K405">
        <v>0</v>
      </c>
      <c r="L405">
        <v>7</v>
      </c>
      <c r="M405" s="5">
        <v>2.6</v>
      </c>
      <c r="N405" s="4">
        <f t="shared" si="6"/>
        <v>10.47</v>
      </c>
      <c r="O405">
        <f>HOUR(TIMEVALUE(RetailTransactions[[#This Row],[Time]]))</f>
        <v>7</v>
      </c>
    </row>
    <row r="406" spans="1:15">
      <c r="A406" t="s">
        <v>596</v>
      </c>
      <c r="B406" s="3">
        <v>46229</v>
      </c>
      <c r="C406" t="s">
        <v>95</v>
      </c>
      <c r="D406" t="s">
        <v>27</v>
      </c>
      <c r="E406" t="s">
        <v>28</v>
      </c>
      <c r="F406" t="s">
        <v>29</v>
      </c>
      <c r="G406">
        <v>1</v>
      </c>
      <c r="H406" s="4">
        <v>3.29</v>
      </c>
      <c r="I406" t="s">
        <v>19</v>
      </c>
      <c r="J406">
        <v>40</v>
      </c>
      <c r="K406">
        <v>0</v>
      </c>
      <c r="L406">
        <v>6</v>
      </c>
      <c r="M406" s="5">
        <v>2.4</v>
      </c>
      <c r="N406" s="4">
        <f t="shared" si="6"/>
        <v>3.29</v>
      </c>
      <c r="O406">
        <f>HOUR(TIMEVALUE(RetailTransactions[[#This Row],[Time]]))</f>
        <v>16</v>
      </c>
    </row>
    <row r="407" spans="1:15">
      <c r="A407" t="s">
        <v>597</v>
      </c>
      <c r="B407" s="3">
        <v>46231</v>
      </c>
      <c r="C407" t="s">
        <v>247</v>
      </c>
      <c r="D407" t="s">
        <v>22</v>
      </c>
      <c r="E407" t="s">
        <v>23</v>
      </c>
      <c r="F407" t="s">
        <v>24</v>
      </c>
      <c r="G407">
        <v>2</v>
      </c>
      <c r="H407" s="4">
        <v>0.95</v>
      </c>
      <c r="I407" t="s">
        <v>19</v>
      </c>
      <c r="J407">
        <v>60</v>
      </c>
      <c r="K407">
        <v>0</v>
      </c>
      <c r="L407">
        <v>6</v>
      </c>
      <c r="M407" s="5">
        <v>5.8</v>
      </c>
      <c r="N407" s="4">
        <f t="shared" si="6"/>
        <v>1.9</v>
      </c>
      <c r="O407">
        <f>HOUR(TIMEVALUE(RetailTransactions[[#This Row],[Time]]))</f>
        <v>17</v>
      </c>
    </row>
    <row r="408" spans="1:15">
      <c r="A408" t="s">
        <v>598</v>
      </c>
      <c r="B408" s="3">
        <v>46223</v>
      </c>
      <c r="C408" t="s">
        <v>152</v>
      </c>
      <c r="D408" t="s">
        <v>33</v>
      </c>
      <c r="E408" t="s">
        <v>28</v>
      </c>
      <c r="F408" t="s">
        <v>29</v>
      </c>
      <c r="G408">
        <v>2</v>
      </c>
      <c r="H408" s="4">
        <v>3.29</v>
      </c>
      <c r="I408" t="s">
        <v>19</v>
      </c>
      <c r="J408">
        <v>32</v>
      </c>
      <c r="K408">
        <v>0</v>
      </c>
      <c r="L408">
        <v>4</v>
      </c>
      <c r="M408" s="5">
        <v>3.4</v>
      </c>
      <c r="N408" s="4">
        <f t="shared" si="6"/>
        <v>6.58</v>
      </c>
      <c r="O408">
        <f>HOUR(TIMEVALUE(RetailTransactions[[#This Row],[Time]]))</f>
        <v>8</v>
      </c>
    </row>
    <row r="409" spans="1:15">
      <c r="A409" t="s">
        <v>599</v>
      </c>
      <c r="B409" s="3">
        <v>46206</v>
      </c>
      <c r="C409" t="s">
        <v>68</v>
      </c>
      <c r="D409" t="s">
        <v>72</v>
      </c>
      <c r="E409" t="s">
        <v>69</v>
      </c>
      <c r="F409" t="s">
        <v>43</v>
      </c>
      <c r="G409">
        <v>2</v>
      </c>
      <c r="H409" s="4">
        <v>1.99</v>
      </c>
      <c r="I409" t="s">
        <v>19</v>
      </c>
      <c r="J409">
        <v>36</v>
      </c>
      <c r="K409">
        <v>0</v>
      </c>
      <c r="L409">
        <v>4</v>
      </c>
      <c r="M409" s="5">
        <v>4.0999999999999996</v>
      </c>
      <c r="N409" s="4">
        <f t="shared" si="6"/>
        <v>3.98</v>
      </c>
      <c r="O409">
        <f>HOUR(TIMEVALUE(RetailTransactions[[#This Row],[Time]]))</f>
        <v>16</v>
      </c>
    </row>
    <row r="410" spans="1:15">
      <c r="A410" t="s">
        <v>600</v>
      </c>
      <c r="B410" s="3">
        <v>46251</v>
      </c>
      <c r="C410" t="s">
        <v>170</v>
      </c>
      <c r="D410" t="s">
        <v>33</v>
      </c>
      <c r="E410" t="s">
        <v>34</v>
      </c>
      <c r="F410" t="s">
        <v>24</v>
      </c>
      <c r="G410">
        <v>2</v>
      </c>
      <c r="H410" s="4">
        <v>1.49</v>
      </c>
      <c r="I410" t="s">
        <v>19</v>
      </c>
      <c r="J410">
        <v>43</v>
      </c>
      <c r="K410">
        <v>1</v>
      </c>
      <c r="L410">
        <v>9</v>
      </c>
      <c r="M410" s="5">
        <v>5.0999999999999996</v>
      </c>
      <c r="N410" s="4">
        <f t="shared" si="6"/>
        <v>2.98</v>
      </c>
      <c r="O410">
        <f>HOUR(TIMEVALUE(RetailTransactions[[#This Row],[Time]]))</f>
        <v>13</v>
      </c>
    </row>
    <row r="411" spans="1:15">
      <c r="A411" t="s">
        <v>601</v>
      </c>
      <c r="B411" s="3">
        <v>46218</v>
      </c>
      <c r="C411" t="s">
        <v>147</v>
      </c>
      <c r="D411" t="s">
        <v>16</v>
      </c>
      <c r="E411" t="s">
        <v>60</v>
      </c>
      <c r="F411" t="s">
        <v>29</v>
      </c>
      <c r="G411">
        <v>1</v>
      </c>
      <c r="H411" s="4">
        <v>2.69</v>
      </c>
      <c r="I411" t="s">
        <v>19</v>
      </c>
      <c r="J411">
        <v>42</v>
      </c>
      <c r="K411">
        <v>1</v>
      </c>
      <c r="L411">
        <v>7</v>
      </c>
      <c r="M411" s="5">
        <v>2.1</v>
      </c>
      <c r="N411" s="4">
        <f t="shared" si="6"/>
        <v>2.69</v>
      </c>
      <c r="O411">
        <f>HOUR(TIMEVALUE(RetailTransactions[[#This Row],[Time]]))</f>
        <v>14</v>
      </c>
    </row>
    <row r="412" spans="1:15">
      <c r="A412" t="s">
        <v>602</v>
      </c>
      <c r="B412" s="3">
        <v>46180</v>
      </c>
      <c r="C412" t="s">
        <v>603</v>
      </c>
      <c r="D412" t="s">
        <v>27</v>
      </c>
      <c r="E412" t="s">
        <v>78</v>
      </c>
      <c r="F412" t="s">
        <v>39</v>
      </c>
      <c r="G412">
        <v>1</v>
      </c>
      <c r="H412" s="4">
        <v>1.55</v>
      </c>
      <c r="I412" t="s">
        <v>19</v>
      </c>
      <c r="J412">
        <v>38</v>
      </c>
      <c r="K412">
        <v>0</v>
      </c>
      <c r="L412">
        <v>4</v>
      </c>
      <c r="M412" s="5">
        <v>3.2</v>
      </c>
      <c r="N412" s="4">
        <f t="shared" si="6"/>
        <v>1.55</v>
      </c>
      <c r="O412">
        <f>HOUR(TIMEVALUE(RetailTransactions[[#This Row],[Time]]))</f>
        <v>7</v>
      </c>
    </row>
    <row r="413" spans="1:15">
      <c r="A413" t="s">
        <v>604</v>
      </c>
      <c r="B413" s="3">
        <v>46217</v>
      </c>
      <c r="C413" t="s">
        <v>21</v>
      </c>
      <c r="D413" t="s">
        <v>22</v>
      </c>
      <c r="E413" t="s">
        <v>125</v>
      </c>
      <c r="F413" t="s">
        <v>39</v>
      </c>
      <c r="G413">
        <v>1</v>
      </c>
      <c r="H413" s="4">
        <v>1.85</v>
      </c>
      <c r="I413" t="s">
        <v>19</v>
      </c>
      <c r="J413">
        <v>6</v>
      </c>
      <c r="K413">
        <v>0</v>
      </c>
      <c r="L413">
        <v>7</v>
      </c>
      <c r="M413" s="5">
        <v>2.7</v>
      </c>
      <c r="N413" s="4">
        <f t="shared" si="6"/>
        <v>1.85</v>
      </c>
      <c r="O413">
        <f>HOUR(TIMEVALUE(RetailTransactions[[#This Row],[Time]]))</f>
        <v>16</v>
      </c>
    </row>
    <row r="414" spans="1:15">
      <c r="A414" t="s">
        <v>605</v>
      </c>
      <c r="B414" s="3">
        <v>46231</v>
      </c>
      <c r="C414" t="s">
        <v>150</v>
      </c>
      <c r="D414" t="s">
        <v>22</v>
      </c>
      <c r="E414" t="s">
        <v>120</v>
      </c>
      <c r="F414" t="s">
        <v>50</v>
      </c>
      <c r="G414">
        <v>1</v>
      </c>
      <c r="H414" s="4">
        <v>1.91</v>
      </c>
      <c r="I414" t="s">
        <v>30</v>
      </c>
      <c r="J414">
        <v>53</v>
      </c>
      <c r="K414">
        <v>0</v>
      </c>
      <c r="L414">
        <v>5</v>
      </c>
      <c r="M414" s="5">
        <v>3.7</v>
      </c>
      <c r="N414" s="4">
        <f t="shared" si="6"/>
        <v>1.91</v>
      </c>
      <c r="O414">
        <f>HOUR(TIMEVALUE(RetailTransactions[[#This Row],[Time]]))</f>
        <v>14</v>
      </c>
    </row>
    <row r="415" spans="1:15">
      <c r="A415" t="s">
        <v>606</v>
      </c>
      <c r="B415" s="3">
        <v>46253</v>
      </c>
      <c r="C415" t="s">
        <v>303</v>
      </c>
      <c r="D415" t="s">
        <v>16</v>
      </c>
      <c r="E415" t="s">
        <v>125</v>
      </c>
      <c r="F415" t="s">
        <v>39</v>
      </c>
      <c r="G415">
        <v>1</v>
      </c>
      <c r="H415" s="4">
        <v>1.85</v>
      </c>
      <c r="I415" t="s">
        <v>19</v>
      </c>
      <c r="J415">
        <v>47</v>
      </c>
      <c r="K415">
        <v>0</v>
      </c>
      <c r="L415">
        <v>4</v>
      </c>
      <c r="M415" s="5">
        <v>3</v>
      </c>
      <c r="N415" s="4">
        <f t="shared" si="6"/>
        <v>1.85</v>
      </c>
      <c r="O415">
        <f>HOUR(TIMEVALUE(RetailTransactions[[#This Row],[Time]]))</f>
        <v>16</v>
      </c>
    </row>
    <row r="416" spans="1:15">
      <c r="A416" t="s">
        <v>607</v>
      </c>
      <c r="B416" s="3">
        <v>46259</v>
      </c>
      <c r="C416" t="s">
        <v>300</v>
      </c>
      <c r="D416" t="s">
        <v>22</v>
      </c>
      <c r="E416" t="s">
        <v>49</v>
      </c>
      <c r="F416" t="s">
        <v>50</v>
      </c>
      <c r="G416">
        <v>4</v>
      </c>
      <c r="H416" s="4">
        <v>3.95</v>
      </c>
      <c r="I416" t="s">
        <v>19</v>
      </c>
      <c r="J416">
        <v>6</v>
      </c>
      <c r="K416">
        <v>0</v>
      </c>
      <c r="L416">
        <v>7</v>
      </c>
      <c r="M416" s="5">
        <v>5.0999999999999996</v>
      </c>
      <c r="N416" s="4">
        <f t="shared" si="6"/>
        <v>15.8</v>
      </c>
      <c r="O416">
        <f>HOUR(TIMEVALUE(RetailTransactions[[#This Row],[Time]]))</f>
        <v>18</v>
      </c>
    </row>
    <row r="417" spans="1:15">
      <c r="A417" t="s">
        <v>608</v>
      </c>
      <c r="B417" s="3">
        <v>46210</v>
      </c>
      <c r="C417" t="s">
        <v>362</v>
      </c>
      <c r="D417" t="s">
        <v>22</v>
      </c>
      <c r="E417" t="s">
        <v>120</v>
      </c>
      <c r="F417" t="s">
        <v>50</v>
      </c>
      <c r="G417">
        <v>1</v>
      </c>
      <c r="H417" s="4">
        <v>2.25</v>
      </c>
      <c r="I417" t="s">
        <v>19</v>
      </c>
      <c r="J417">
        <v>32</v>
      </c>
      <c r="K417">
        <v>0</v>
      </c>
      <c r="L417">
        <v>9</v>
      </c>
      <c r="M417" s="5">
        <v>4</v>
      </c>
      <c r="N417" s="4">
        <f t="shared" si="6"/>
        <v>2.25</v>
      </c>
      <c r="O417">
        <f>HOUR(TIMEVALUE(RetailTransactions[[#This Row],[Time]]))</f>
        <v>17</v>
      </c>
    </row>
    <row r="418" spans="1:15">
      <c r="A418" t="s">
        <v>609</v>
      </c>
      <c r="B418" s="3">
        <v>46193</v>
      </c>
      <c r="C418" t="s">
        <v>300</v>
      </c>
      <c r="D418" t="s">
        <v>66</v>
      </c>
      <c r="E418" t="s">
        <v>46</v>
      </c>
      <c r="F418" t="s">
        <v>24</v>
      </c>
      <c r="G418">
        <v>2</v>
      </c>
      <c r="H418" s="4">
        <v>1.52</v>
      </c>
      <c r="I418" t="s">
        <v>30</v>
      </c>
      <c r="J418">
        <v>38</v>
      </c>
      <c r="K418">
        <v>1</v>
      </c>
      <c r="L418">
        <v>6</v>
      </c>
      <c r="M418" s="5">
        <v>4.7</v>
      </c>
      <c r="N418" s="4">
        <f t="shared" si="6"/>
        <v>3.04</v>
      </c>
      <c r="O418">
        <f>HOUR(TIMEVALUE(RetailTransactions[[#This Row],[Time]]))</f>
        <v>18</v>
      </c>
    </row>
    <row r="419" spans="1:15">
      <c r="A419" t="s">
        <v>610</v>
      </c>
      <c r="B419" s="3">
        <v>46213</v>
      </c>
      <c r="C419" t="s">
        <v>479</v>
      </c>
      <c r="D419" t="s">
        <v>72</v>
      </c>
      <c r="E419" t="s">
        <v>17</v>
      </c>
      <c r="F419" t="s">
        <v>18</v>
      </c>
      <c r="G419">
        <v>1</v>
      </c>
      <c r="H419" s="4">
        <v>1.75</v>
      </c>
      <c r="I419" t="s">
        <v>19</v>
      </c>
      <c r="J419">
        <v>3</v>
      </c>
      <c r="K419">
        <v>1</v>
      </c>
      <c r="L419">
        <v>4</v>
      </c>
      <c r="M419" s="5">
        <v>4.9000000000000004</v>
      </c>
      <c r="N419" s="4">
        <f t="shared" si="6"/>
        <v>1.75</v>
      </c>
      <c r="O419">
        <f>HOUR(TIMEVALUE(RetailTransactions[[#This Row],[Time]]))</f>
        <v>20</v>
      </c>
    </row>
    <row r="420" spans="1:15">
      <c r="A420" t="s">
        <v>611</v>
      </c>
      <c r="B420" s="3">
        <v>46222</v>
      </c>
      <c r="C420" t="s">
        <v>247</v>
      </c>
      <c r="D420" t="s">
        <v>27</v>
      </c>
      <c r="E420" t="s">
        <v>57</v>
      </c>
      <c r="F420" t="s">
        <v>43</v>
      </c>
      <c r="G420">
        <v>3</v>
      </c>
      <c r="H420" s="4">
        <v>1.69</v>
      </c>
      <c r="I420" t="s">
        <v>19</v>
      </c>
      <c r="J420">
        <v>41</v>
      </c>
      <c r="K420">
        <v>0</v>
      </c>
      <c r="L420">
        <v>6</v>
      </c>
      <c r="M420" s="5">
        <v>4.9000000000000004</v>
      </c>
      <c r="N420" s="4">
        <f t="shared" si="6"/>
        <v>5.07</v>
      </c>
      <c r="O420">
        <f>HOUR(TIMEVALUE(RetailTransactions[[#This Row],[Time]]))</f>
        <v>17</v>
      </c>
    </row>
    <row r="421" spans="1:15">
      <c r="A421" t="s">
        <v>612</v>
      </c>
      <c r="B421" s="3">
        <v>46182</v>
      </c>
      <c r="C421" t="s">
        <v>134</v>
      </c>
      <c r="D421" t="s">
        <v>22</v>
      </c>
      <c r="E421" t="s">
        <v>34</v>
      </c>
      <c r="F421" t="s">
        <v>24</v>
      </c>
      <c r="G421">
        <v>1</v>
      </c>
      <c r="H421" s="4">
        <v>1.49</v>
      </c>
      <c r="I421" t="s">
        <v>19</v>
      </c>
      <c r="J421">
        <v>55</v>
      </c>
      <c r="K421">
        <v>0</v>
      </c>
      <c r="L421">
        <v>7</v>
      </c>
      <c r="M421" s="5">
        <v>1.4</v>
      </c>
      <c r="N421" s="4">
        <f t="shared" si="6"/>
        <v>1.49</v>
      </c>
      <c r="O421">
        <f>HOUR(TIMEVALUE(RetailTransactions[[#This Row],[Time]]))</f>
        <v>20</v>
      </c>
    </row>
    <row r="422" spans="1:15">
      <c r="A422" t="s">
        <v>613</v>
      </c>
      <c r="B422" s="3">
        <v>46200</v>
      </c>
      <c r="C422" t="s">
        <v>335</v>
      </c>
      <c r="D422" t="s">
        <v>66</v>
      </c>
      <c r="E422" t="s">
        <v>28</v>
      </c>
      <c r="F422" t="s">
        <v>29</v>
      </c>
      <c r="G422">
        <v>2</v>
      </c>
      <c r="H422" s="4">
        <v>3.29</v>
      </c>
      <c r="I422" t="s">
        <v>19</v>
      </c>
      <c r="J422">
        <v>6</v>
      </c>
      <c r="K422">
        <v>0</v>
      </c>
      <c r="L422">
        <v>7</v>
      </c>
      <c r="M422" s="5">
        <v>5.9</v>
      </c>
      <c r="N422" s="4">
        <f t="shared" si="6"/>
        <v>6.58</v>
      </c>
      <c r="O422">
        <f>HOUR(TIMEVALUE(RetailTransactions[[#This Row],[Time]]))</f>
        <v>18</v>
      </c>
    </row>
    <row r="423" spans="1:15">
      <c r="A423" t="s">
        <v>614</v>
      </c>
      <c r="B423" s="3">
        <v>46201</v>
      </c>
      <c r="C423" t="s">
        <v>65</v>
      </c>
      <c r="D423" t="s">
        <v>27</v>
      </c>
      <c r="E423" t="s">
        <v>46</v>
      </c>
      <c r="F423" t="s">
        <v>24</v>
      </c>
      <c r="G423">
        <v>1</v>
      </c>
      <c r="H423" s="4">
        <v>1.79</v>
      </c>
      <c r="I423" t="s">
        <v>19</v>
      </c>
      <c r="J423">
        <v>7</v>
      </c>
      <c r="K423">
        <v>0</v>
      </c>
      <c r="L423">
        <v>5</v>
      </c>
      <c r="M423" s="5">
        <v>4.2</v>
      </c>
      <c r="N423" s="4">
        <f t="shared" si="6"/>
        <v>1.79</v>
      </c>
      <c r="O423">
        <f>HOUR(TIMEVALUE(RetailTransactions[[#This Row],[Time]]))</f>
        <v>7</v>
      </c>
    </row>
    <row r="424" spans="1:15">
      <c r="A424" t="s">
        <v>615</v>
      </c>
      <c r="B424" s="3">
        <v>46230</v>
      </c>
      <c r="C424" t="s">
        <v>204</v>
      </c>
      <c r="D424" t="s">
        <v>33</v>
      </c>
      <c r="E424" t="s">
        <v>106</v>
      </c>
      <c r="F424" t="s">
        <v>18</v>
      </c>
      <c r="G424">
        <v>2</v>
      </c>
      <c r="H424" s="4">
        <v>1.89</v>
      </c>
      <c r="I424" t="s">
        <v>19</v>
      </c>
      <c r="J424">
        <v>42</v>
      </c>
      <c r="K424">
        <v>0</v>
      </c>
      <c r="L424">
        <v>5</v>
      </c>
      <c r="M424" s="5">
        <v>3.6</v>
      </c>
      <c r="N424" s="4">
        <f t="shared" si="6"/>
        <v>3.78</v>
      </c>
      <c r="O424">
        <f>HOUR(TIMEVALUE(RetailTransactions[[#This Row],[Time]]))</f>
        <v>14</v>
      </c>
    </row>
    <row r="425" spans="1:15">
      <c r="A425" t="s">
        <v>616</v>
      </c>
      <c r="B425" s="3">
        <v>46258</v>
      </c>
      <c r="C425" t="s">
        <v>144</v>
      </c>
      <c r="D425" t="s">
        <v>33</v>
      </c>
      <c r="E425" t="s">
        <v>78</v>
      </c>
      <c r="F425" t="s">
        <v>39</v>
      </c>
      <c r="G425">
        <v>2</v>
      </c>
      <c r="H425" s="4">
        <v>1.55</v>
      </c>
      <c r="I425" t="s">
        <v>19</v>
      </c>
      <c r="J425">
        <v>60</v>
      </c>
      <c r="K425">
        <v>0</v>
      </c>
      <c r="L425">
        <v>9</v>
      </c>
      <c r="M425" s="5">
        <v>4.2</v>
      </c>
      <c r="N425" s="4">
        <f t="shared" si="6"/>
        <v>3.1</v>
      </c>
      <c r="O425">
        <f>HOUR(TIMEVALUE(RetailTransactions[[#This Row],[Time]]))</f>
        <v>17</v>
      </c>
    </row>
    <row r="426" spans="1:15">
      <c r="A426" t="s">
        <v>617</v>
      </c>
      <c r="B426" s="3">
        <v>46246</v>
      </c>
      <c r="C426" t="s">
        <v>618</v>
      </c>
      <c r="D426" t="s">
        <v>16</v>
      </c>
      <c r="E426" t="s">
        <v>63</v>
      </c>
      <c r="F426" t="s">
        <v>50</v>
      </c>
      <c r="G426">
        <v>1</v>
      </c>
      <c r="H426" s="4">
        <v>2.97</v>
      </c>
      <c r="I426" t="s">
        <v>30</v>
      </c>
      <c r="J426">
        <v>3</v>
      </c>
      <c r="K426">
        <v>0</v>
      </c>
      <c r="L426">
        <v>7</v>
      </c>
      <c r="M426" s="5">
        <v>2.2000000000000002</v>
      </c>
      <c r="N426" s="4">
        <f t="shared" si="6"/>
        <v>2.97</v>
      </c>
      <c r="O426">
        <f>HOUR(TIMEVALUE(RetailTransactions[[#This Row],[Time]]))</f>
        <v>8</v>
      </c>
    </row>
    <row r="427" spans="1:15">
      <c r="A427" t="s">
        <v>619</v>
      </c>
      <c r="B427" s="3">
        <v>46190</v>
      </c>
      <c r="C427" t="s">
        <v>519</v>
      </c>
      <c r="D427" t="s">
        <v>16</v>
      </c>
      <c r="E427" t="s">
        <v>17</v>
      </c>
      <c r="F427" t="s">
        <v>18</v>
      </c>
      <c r="G427">
        <v>4</v>
      </c>
      <c r="H427" s="4">
        <v>1.75</v>
      </c>
      <c r="I427" t="s">
        <v>19</v>
      </c>
      <c r="J427">
        <v>47</v>
      </c>
      <c r="K427">
        <v>0</v>
      </c>
      <c r="L427">
        <v>6</v>
      </c>
      <c r="M427" s="5">
        <v>2.9</v>
      </c>
      <c r="N427" s="4">
        <f t="shared" si="6"/>
        <v>7</v>
      </c>
      <c r="O427">
        <f>HOUR(TIMEVALUE(RetailTransactions[[#This Row],[Time]]))</f>
        <v>13</v>
      </c>
    </row>
    <row r="428" spans="1:15">
      <c r="A428" t="s">
        <v>620</v>
      </c>
      <c r="B428" s="3">
        <v>46260</v>
      </c>
      <c r="C428" t="s">
        <v>91</v>
      </c>
      <c r="D428" t="s">
        <v>16</v>
      </c>
      <c r="E428" t="s">
        <v>17</v>
      </c>
      <c r="F428" t="s">
        <v>18</v>
      </c>
      <c r="G428">
        <v>2</v>
      </c>
      <c r="H428" s="4">
        <v>1.75</v>
      </c>
      <c r="I428" t="s">
        <v>19</v>
      </c>
      <c r="J428">
        <v>4</v>
      </c>
      <c r="K428">
        <v>0</v>
      </c>
      <c r="L428">
        <v>8</v>
      </c>
      <c r="M428" s="5">
        <v>5.4</v>
      </c>
      <c r="N428" s="4">
        <f t="shared" si="6"/>
        <v>3.5</v>
      </c>
      <c r="O428">
        <f>HOUR(TIMEVALUE(RetailTransactions[[#This Row],[Time]]))</f>
        <v>12</v>
      </c>
    </row>
    <row r="429" spans="1:15">
      <c r="A429" t="s">
        <v>621</v>
      </c>
      <c r="B429" s="3">
        <v>46234</v>
      </c>
      <c r="C429" t="s">
        <v>230</v>
      </c>
      <c r="D429" t="s">
        <v>72</v>
      </c>
      <c r="E429" t="s">
        <v>85</v>
      </c>
      <c r="F429" t="s">
        <v>18</v>
      </c>
      <c r="G429">
        <v>2</v>
      </c>
      <c r="H429" s="4">
        <v>2.12</v>
      </c>
      <c r="I429" t="s">
        <v>30</v>
      </c>
      <c r="J429">
        <v>57</v>
      </c>
      <c r="K429">
        <v>0</v>
      </c>
      <c r="L429">
        <v>9</v>
      </c>
      <c r="M429" s="5">
        <v>3.3</v>
      </c>
      <c r="N429" s="4">
        <f t="shared" si="6"/>
        <v>4.24</v>
      </c>
      <c r="O429">
        <f>HOUR(TIMEVALUE(RetailTransactions[[#This Row],[Time]]))</f>
        <v>13</v>
      </c>
    </row>
    <row r="430" spans="1:15">
      <c r="A430" t="s">
        <v>622</v>
      </c>
      <c r="B430" s="3">
        <v>46215</v>
      </c>
      <c r="C430" t="s">
        <v>232</v>
      </c>
      <c r="D430" t="s">
        <v>27</v>
      </c>
      <c r="E430" t="s">
        <v>28</v>
      </c>
      <c r="F430" t="s">
        <v>29</v>
      </c>
      <c r="G430">
        <v>1</v>
      </c>
      <c r="H430" s="4">
        <v>3.29</v>
      </c>
      <c r="I430" t="s">
        <v>19</v>
      </c>
      <c r="J430">
        <v>19</v>
      </c>
      <c r="K430">
        <v>0</v>
      </c>
      <c r="L430">
        <v>9</v>
      </c>
      <c r="M430" s="5">
        <v>4.9000000000000004</v>
      </c>
      <c r="N430" s="4">
        <f t="shared" si="6"/>
        <v>3.29</v>
      </c>
      <c r="O430">
        <f>HOUR(TIMEVALUE(RetailTransactions[[#This Row],[Time]]))</f>
        <v>19</v>
      </c>
    </row>
    <row r="431" spans="1:15">
      <c r="A431" t="s">
        <v>623</v>
      </c>
      <c r="B431" s="3">
        <v>46181</v>
      </c>
      <c r="C431" t="s">
        <v>105</v>
      </c>
      <c r="D431" t="s">
        <v>33</v>
      </c>
      <c r="E431" t="s">
        <v>106</v>
      </c>
      <c r="F431" t="s">
        <v>18</v>
      </c>
      <c r="G431">
        <v>3</v>
      </c>
      <c r="H431" s="4">
        <v>1.89</v>
      </c>
      <c r="I431" t="s">
        <v>19</v>
      </c>
      <c r="J431">
        <v>30</v>
      </c>
      <c r="K431">
        <v>0</v>
      </c>
      <c r="L431">
        <v>6</v>
      </c>
      <c r="M431" s="5">
        <v>4.0999999999999996</v>
      </c>
      <c r="N431" s="4">
        <f t="shared" si="6"/>
        <v>5.67</v>
      </c>
      <c r="O431">
        <f>HOUR(TIMEVALUE(RetailTransactions[[#This Row],[Time]]))</f>
        <v>12</v>
      </c>
    </row>
    <row r="432" spans="1:15">
      <c r="A432" t="s">
        <v>624</v>
      </c>
      <c r="B432" s="3">
        <v>46230</v>
      </c>
      <c r="C432" t="s">
        <v>335</v>
      </c>
      <c r="D432" t="s">
        <v>33</v>
      </c>
      <c r="E432" t="s">
        <v>106</v>
      </c>
      <c r="F432" t="s">
        <v>18</v>
      </c>
      <c r="G432">
        <v>2</v>
      </c>
      <c r="H432" s="4">
        <v>1.89</v>
      </c>
      <c r="I432" t="s">
        <v>19</v>
      </c>
      <c r="J432">
        <v>13</v>
      </c>
      <c r="K432">
        <v>0</v>
      </c>
      <c r="L432">
        <v>8</v>
      </c>
      <c r="M432" s="5">
        <v>5.4</v>
      </c>
      <c r="N432" s="4">
        <f t="shared" si="6"/>
        <v>3.78</v>
      </c>
      <c r="O432">
        <f>HOUR(TIMEVALUE(RetailTransactions[[#This Row],[Time]]))</f>
        <v>18</v>
      </c>
    </row>
    <row r="433" spans="1:15">
      <c r="A433" t="s">
        <v>625</v>
      </c>
      <c r="B433" s="3">
        <v>46236</v>
      </c>
      <c r="C433" t="s">
        <v>258</v>
      </c>
      <c r="D433" t="s">
        <v>27</v>
      </c>
      <c r="E433" t="s">
        <v>125</v>
      </c>
      <c r="F433" t="s">
        <v>39</v>
      </c>
      <c r="G433">
        <v>1</v>
      </c>
      <c r="H433" s="4">
        <v>1.85</v>
      </c>
      <c r="I433" t="s">
        <v>19</v>
      </c>
      <c r="J433">
        <v>26</v>
      </c>
      <c r="K433">
        <v>0</v>
      </c>
      <c r="L433">
        <v>4</v>
      </c>
      <c r="M433" s="5">
        <v>4.2</v>
      </c>
      <c r="N433" s="4">
        <f t="shared" si="6"/>
        <v>1.85</v>
      </c>
      <c r="O433">
        <f>HOUR(TIMEVALUE(RetailTransactions[[#This Row],[Time]]))</f>
        <v>16</v>
      </c>
    </row>
    <row r="434" spans="1:15">
      <c r="A434" t="s">
        <v>626</v>
      </c>
      <c r="B434" s="3">
        <v>46235</v>
      </c>
      <c r="C434" t="s">
        <v>627</v>
      </c>
      <c r="D434" t="s">
        <v>66</v>
      </c>
      <c r="E434" t="s">
        <v>46</v>
      </c>
      <c r="F434" t="s">
        <v>24</v>
      </c>
      <c r="G434">
        <v>1</v>
      </c>
      <c r="H434" s="4">
        <v>1.52</v>
      </c>
      <c r="I434" t="s">
        <v>30</v>
      </c>
      <c r="J434">
        <v>27</v>
      </c>
      <c r="K434">
        <v>0</v>
      </c>
      <c r="L434">
        <v>7</v>
      </c>
      <c r="M434" s="5">
        <v>2.6</v>
      </c>
      <c r="N434" s="4">
        <f t="shared" si="6"/>
        <v>1.52</v>
      </c>
      <c r="O434">
        <f>HOUR(TIMEVALUE(RetailTransactions[[#This Row],[Time]]))</f>
        <v>15</v>
      </c>
    </row>
    <row r="435" spans="1:15">
      <c r="A435" t="s">
        <v>628</v>
      </c>
      <c r="B435" s="3">
        <v>46243</v>
      </c>
      <c r="C435" t="s">
        <v>277</v>
      </c>
      <c r="D435" t="s">
        <v>27</v>
      </c>
      <c r="E435" t="s">
        <v>106</v>
      </c>
      <c r="F435" t="s">
        <v>18</v>
      </c>
      <c r="G435">
        <v>1</v>
      </c>
      <c r="H435" s="4">
        <v>1.89</v>
      </c>
      <c r="I435" t="s">
        <v>19</v>
      </c>
      <c r="J435">
        <v>43</v>
      </c>
      <c r="K435">
        <v>1</v>
      </c>
      <c r="L435">
        <v>6</v>
      </c>
      <c r="M435" s="5">
        <v>2.8</v>
      </c>
      <c r="N435" s="4">
        <f t="shared" si="6"/>
        <v>1.89</v>
      </c>
      <c r="O435">
        <f>HOUR(TIMEVALUE(RetailTransactions[[#This Row],[Time]]))</f>
        <v>9</v>
      </c>
    </row>
    <row r="436" spans="1:15">
      <c r="A436" t="s">
        <v>629</v>
      </c>
      <c r="B436" s="3">
        <v>46230</v>
      </c>
      <c r="C436" t="s">
        <v>630</v>
      </c>
      <c r="D436" t="s">
        <v>33</v>
      </c>
      <c r="E436" t="s">
        <v>120</v>
      </c>
      <c r="F436" t="s">
        <v>50</v>
      </c>
      <c r="G436">
        <v>1</v>
      </c>
      <c r="H436" s="4">
        <v>2.25</v>
      </c>
      <c r="I436" t="s">
        <v>19</v>
      </c>
      <c r="J436">
        <v>11</v>
      </c>
      <c r="K436">
        <v>1</v>
      </c>
      <c r="L436">
        <v>7</v>
      </c>
      <c r="M436" s="5">
        <v>2.6</v>
      </c>
      <c r="N436" s="4">
        <f t="shared" si="6"/>
        <v>2.25</v>
      </c>
      <c r="O436">
        <f>HOUR(TIMEVALUE(RetailTransactions[[#This Row],[Time]]))</f>
        <v>15</v>
      </c>
    </row>
    <row r="437" spans="1:15">
      <c r="A437" t="s">
        <v>631</v>
      </c>
      <c r="B437" s="3">
        <v>46177</v>
      </c>
      <c r="C437" t="s">
        <v>562</v>
      </c>
      <c r="D437" t="s">
        <v>37</v>
      </c>
      <c r="E437" t="s">
        <v>115</v>
      </c>
      <c r="F437" t="s">
        <v>29</v>
      </c>
      <c r="G437">
        <v>1</v>
      </c>
      <c r="H437" s="4">
        <v>3.99</v>
      </c>
      <c r="I437" t="s">
        <v>19</v>
      </c>
      <c r="J437">
        <v>45</v>
      </c>
      <c r="K437">
        <v>0</v>
      </c>
      <c r="L437">
        <v>6</v>
      </c>
      <c r="M437" s="5">
        <v>1.9</v>
      </c>
      <c r="N437" s="4">
        <f t="shared" si="6"/>
        <v>3.99</v>
      </c>
      <c r="O437">
        <f>HOUR(TIMEVALUE(RetailTransactions[[#This Row],[Time]]))</f>
        <v>10</v>
      </c>
    </row>
    <row r="438" spans="1:15">
      <c r="A438" t="s">
        <v>632</v>
      </c>
      <c r="B438" s="3">
        <v>46204</v>
      </c>
      <c r="C438" t="s">
        <v>505</v>
      </c>
      <c r="D438" t="s">
        <v>16</v>
      </c>
      <c r="E438" t="s">
        <v>34</v>
      </c>
      <c r="F438" t="s">
        <v>24</v>
      </c>
      <c r="G438">
        <v>2</v>
      </c>
      <c r="H438" s="4">
        <v>1.49</v>
      </c>
      <c r="I438" t="s">
        <v>19</v>
      </c>
      <c r="J438">
        <v>49</v>
      </c>
      <c r="K438">
        <v>0</v>
      </c>
      <c r="L438">
        <v>5</v>
      </c>
      <c r="M438" s="5">
        <v>3.4</v>
      </c>
      <c r="N438" s="4">
        <f t="shared" si="6"/>
        <v>2.98</v>
      </c>
      <c r="O438">
        <f>HOUR(TIMEVALUE(RetailTransactions[[#This Row],[Time]]))</f>
        <v>20</v>
      </c>
    </row>
    <row r="439" spans="1:15">
      <c r="A439" t="s">
        <v>633</v>
      </c>
      <c r="B439" s="3">
        <v>46183</v>
      </c>
      <c r="C439" t="s">
        <v>318</v>
      </c>
      <c r="D439" t="s">
        <v>16</v>
      </c>
      <c r="E439" t="s">
        <v>63</v>
      </c>
      <c r="F439" t="s">
        <v>50</v>
      </c>
      <c r="G439">
        <v>1</v>
      </c>
      <c r="H439" s="4">
        <v>3.49</v>
      </c>
      <c r="I439" t="s">
        <v>19</v>
      </c>
      <c r="J439">
        <v>14</v>
      </c>
      <c r="K439">
        <v>0</v>
      </c>
      <c r="L439">
        <v>8</v>
      </c>
      <c r="M439" s="5">
        <v>4</v>
      </c>
      <c r="N439" s="4">
        <f t="shared" si="6"/>
        <v>3.49</v>
      </c>
      <c r="O439">
        <f>HOUR(TIMEVALUE(RetailTransactions[[#This Row],[Time]]))</f>
        <v>12</v>
      </c>
    </row>
    <row r="440" spans="1:15">
      <c r="A440" t="s">
        <v>634</v>
      </c>
      <c r="B440" s="3">
        <v>46255</v>
      </c>
      <c r="C440" t="s">
        <v>209</v>
      </c>
      <c r="D440" t="s">
        <v>72</v>
      </c>
      <c r="E440" t="s">
        <v>23</v>
      </c>
      <c r="F440" t="s">
        <v>24</v>
      </c>
      <c r="G440">
        <v>1</v>
      </c>
      <c r="H440" s="4">
        <v>0.95</v>
      </c>
      <c r="I440" t="s">
        <v>19</v>
      </c>
      <c r="J440">
        <v>15</v>
      </c>
      <c r="K440">
        <v>1</v>
      </c>
      <c r="L440">
        <v>9</v>
      </c>
      <c r="M440" s="5">
        <v>3</v>
      </c>
      <c r="N440" s="4">
        <f t="shared" si="6"/>
        <v>0.95</v>
      </c>
      <c r="O440">
        <f>HOUR(TIMEVALUE(RetailTransactions[[#This Row],[Time]]))</f>
        <v>18</v>
      </c>
    </row>
    <row r="441" spans="1:15">
      <c r="A441" t="s">
        <v>635</v>
      </c>
      <c r="B441" s="3">
        <v>46240</v>
      </c>
      <c r="C441" t="s">
        <v>163</v>
      </c>
      <c r="D441" t="s">
        <v>37</v>
      </c>
      <c r="E441" t="s">
        <v>85</v>
      </c>
      <c r="F441" t="s">
        <v>18</v>
      </c>
      <c r="G441">
        <v>2</v>
      </c>
      <c r="H441" s="4">
        <v>2.4900000000000002</v>
      </c>
      <c r="I441" t="s">
        <v>19</v>
      </c>
      <c r="J441">
        <v>57</v>
      </c>
      <c r="K441">
        <v>0</v>
      </c>
      <c r="L441">
        <v>9</v>
      </c>
      <c r="M441" s="5">
        <v>4.8</v>
      </c>
      <c r="N441" s="4">
        <f t="shared" si="6"/>
        <v>4.9800000000000004</v>
      </c>
      <c r="O441">
        <f>HOUR(TIMEVALUE(RetailTransactions[[#This Row],[Time]]))</f>
        <v>17</v>
      </c>
    </row>
    <row r="442" spans="1:15">
      <c r="A442" t="s">
        <v>636</v>
      </c>
      <c r="B442" s="3">
        <v>46215</v>
      </c>
      <c r="C442" t="s">
        <v>637</v>
      </c>
      <c r="D442" t="s">
        <v>27</v>
      </c>
      <c r="E442" t="s">
        <v>23</v>
      </c>
      <c r="F442" t="s">
        <v>24</v>
      </c>
      <c r="G442">
        <v>1</v>
      </c>
      <c r="H442" s="4">
        <v>0.95</v>
      </c>
      <c r="I442" t="s">
        <v>19</v>
      </c>
      <c r="J442">
        <v>45</v>
      </c>
      <c r="K442">
        <v>1</v>
      </c>
      <c r="L442">
        <v>7</v>
      </c>
      <c r="M442" s="5">
        <v>2.1</v>
      </c>
      <c r="N442" s="4">
        <f t="shared" si="6"/>
        <v>0.95</v>
      </c>
      <c r="O442">
        <f>HOUR(TIMEVALUE(RetailTransactions[[#This Row],[Time]]))</f>
        <v>8</v>
      </c>
    </row>
    <row r="443" spans="1:15">
      <c r="A443" t="s">
        <v>638</v>
      </c>
      <c r="B443" s="3">
        <v>46203</v>
      </c>
      <c r="C443" t="s">
        <v>62</v>
      </c>
      <c r="D443" t="s">
        <v>22</v>
      </c>
      <c r="E443" t="s">
        <v>125</v>
      </c>
      <c r="F443" t="s">
        <v>39</v>
      </c>
      <c r="G443">
        <v>2</v>
      </c>
      <c r="H443" s="4">
        <v>1.85</v>
      </c>
      <c r="I443" t="s">
        <v>19</v>
      </c>
      <c r="J443">
        <v>8</v>
      </c>
      <c r="K443">
        <v>0</v>
      </c>
      <c r="L443">
        <v>7</v>
      </c>
      <c r="M443" s="5">
        <v>5</v>
      </c>
      <c r="N443" s="4">
        <f t="shared" si="6"/>
        <v>3.7</v>
      </c>
      <c r="O443">
        <f>HOUR(TIMEVALUE(RetailTransactions[[#This Row],[Time]]))</f>
        <v>18</v>
      </c>
    </row>
    <row r="444" spans="1:15">
      <c r="A444" t="s">
        <v>639</v>
      </c>
      <c r="B444" s="3">
        <v>46227</v>
      </c>
      <c r="C444" t="s">
        <v>80</v>
      </c>
      <c r="D444" t="s">
        <v>72</v>
      </c>
      <c r="E444" t="s">
        <v>57</v>
      </c>
      <c r="F444" t="s">
        <v>43</v>
      </c>
      <c r="G444">
        <v>2</v>
      </c>
      <c r="H444" s="4">
        <v>1.69</v>
      </c>
      <c r="I444" t="s">
        <v>19</v>
      </c>
      <c r="J444">
        <v>22</v>
      </c>
      <c r="K444">
        <v>0</v>
      </c>
      <c r="L444">
        <v>4</v>
      </c>
      <c r="M444" s="5">
        <v>4.0999999999999996</v>
      </c>
      <c r="N444" s="4">
        <f t="shared" si="6"/>
        <v>3.38</v>
      </c>
      <c r="O444">
        <f>HOUR(TIMEVALUE(RetailTransactions[[#This Row],[Time]]))</f>
        <v>16</v>
      </c>
    </row>
    <row r="445" spans="1:15">
      <c r="A445" t="s">
        <v>640</v>
      </c>
      <c r="B445" s="3">
        <v>46228</v>
      </c>
      <c r="C445" t="s">
        <v>211</v>
      </c>
      <c r="D445" t="s">
        <v>66</v>
      </c>
      <c r="E445" t="s">
        <v>49</v>
      </c>
      <c r="F445" t="s">
        <v>50</v>
      </c>
      <c r="G445">
        <v>2</v>
      </c>
      <c r="H445" s="4">
        <v>3.95</v>
      </c>
      <c r="I445" t="s">
        <v>19</v>
      </c>
      <c r="J445">
        <v>35</v>
      </c>
      <c r="K445">
        <v>0</v>
      </c>
      <c r="L445">
        <v>7</v>
      </c>
      <c r="M445" s="5">
        <v>2.1</v>
      </c>
      <c r="N445" s="4">
        <f t="shared" si="6"/>
        <v>7.9</v>
      </c>
      <c r="O445">
        <f>HOUR(TIMEVALUE(RetailTransactions[[#This Row],[Time]]))</f>
        <v>14</v>
      </c>
    </row>
    <row r="446" spans="1:15">
      <c r="A446" t="s">
        <v>641</v>
      </c>
      <c r="B446" s="3">
        <v>46200</v>
      </c>
      <c r="C446" t="s">
        <v>388</v>
      </c>
      <c r="D446" t="s">
        <v>66</v>
      </c>
      <c r="E446" t="s">
        <v>106</v>
      </c>
      <c r="F446" t="s">
        <v>18</v>
      </c>
      <c r="G446">
        <v>1</v>
      </c>
      <c r="H446" s="4">
        <v>1.89</v>
      </c>
      <c r="I446" t="s">
        <v>19</v>
      </c>
      <c r="J446">
        <v>11</v>
      </c>
      <c r="K446">
        <v>0</v>
      </c>
      <c r="L446">
        <v>6</v>
      </c>
      <c r="M446" s="5">
        <v>5.8</v>
      </c>
      <c r="N446" s="4">
        <f t="shared" si="6"/>
        <v>1.89</v>
      </c>
      <c r="O446">
        <f>HOUR(TIMEVALUE(RetailTransactions[[#This Row],[Time]]))</f>
        <v>18</v>
      </c>
    </row>
    <row r="447" spans="1:15">
      <c r="A447" t="s">
        <v>642</v>
      </c>
      <c r="B447" s="3">
        <v>46225</v>
      </c>
      <c r="C447" t="s">
        <v>388</v>
      </c>
      <c r="D447" t="s">
        <v>16</v>
      </c>
      <c r="E447" t="s">
        <v>106</v>
      </c>
      <c r="F447" t="s">
        <v>18</v>
      </c>
      <c r="G447">
        <v>1</v>
      </c>
      <c r="H447" s="4">
        <v>1.89</v>
      </c>
      <c r="I447" t="s">
        <v>19</v>
      </c>
      <c r="J447">
        <v>55</v>
      </c>
      <c r="K447">
        <v>0</v>
      </c>
      <c r="L447">
        <v>7</v>
      </c>
      <c r="M447" s="5">
        <v>4</v>
      </c>
      <c r="N447" s="4">
        <f t="shared" si="6"/>
        <v>1.89</v>
      </c>
      <c r="O447">
        <f>HOUR(TIMEVALUE(RetailTransactions[[#This Row],[Time]]))</f>
        <v>18</v>
      </c>
    </row>
    <row r="448" spans="1:15">
      <c r="A448" t="s">
        <v>643</v>
      </c>
      <c r="B448" s="3">
        <v>46196</v>
      </c>
      <c r="C448" t="s">
        <v>202</v>
      </c>
      <c r="D448" t="s">
        <v>22</v>
      </c>
      <c r="E448" t="s">
        <v>78</v>
      </c>
      <c r="F448" t="s">
        <v>39</v>
      </c>
      <c r="G448">
        <v>2</v>
      </c>
      <c r="H448" s="4">
        <v>1.55</v>
      </c>
      <c r="I448" t="s">
        <v>19</v>
      </c>
      <c r="J448">
        <v>28</v>
      </c>
      <c r="K448">
        <v>0</v>
      </c>
      <c r="L448">
        <v>7</v>
      </c>
      <c r="M448" s="5">
        <v>4.0999999999999996</v>
      </c>
      <c r="N448" s="4">
        <f t="shared" si="6"/>
        <v>3.1</v>
      </c>
      <c r="O448">
        <f>HOUR(TIMEVALUE(RetailTransactions[[#This Row],[Time]]))</f>
        <v>13</v>
      </c>
    </row>
    <row r="449" spans="1:15">
      <c r="A449" t="s">
        <v>644</v>
      </c>
      <c r="B449" s="3">
        <v>46194</v>
      </c>
      <c r="C449" t="s">
        <v>272</v>
      </c>
      <c r="D449" t="s">
        <v>27</v>
      </c>
      <c r="E449" t="s">
        <v>63</v>
      </c>
      <c r="F449" t="s">
        <v>50</v>
      </c>
      <c r="G449">
        <v>1</v>
      </c>
      <c r="H449" s="4">
        <v>2.97</v>
      </c>
      <c r="I449" t="s">
        <v>30</v>
      </c>
      <c r="J449">
        <v>43</v>
      </c>
      <c r="K449">
        <v>0</v>
      </c>
      <c r="L449">
        <v>8</v>
      </c>
      <c r="M449" s="5">
        <v>5.0999999999999996</v>
      </c>
      <c r="N449" s="4">
        <f t="shared" si="6"/>
        <v>2.97</v>
      </c>
      <c r="O449">
        <f>HOUR(TIMEVALUE(RetailTransactions[[#This Row],[Time]]))</f>
        <v>18</v>
      </c>
    </row>
    <row r="450" spans="1:15">
      <c r="A450" t="s">
        <v>645</v>
      </c>
      <c r="B450" s="3">
        <v>46259</v>
      </c>
      <c r="C450" t="s">
        <v>137</v>
      </c>
      <c r="D450" t="s">
        <v>22</v>
      </c>
      <c r="E450" t="s">
        <v>106</v>
      </c>
      <c r="F450" t="s">
        <v>18</v>
      </c>
      <c r="G450">
        <v>1</v>
      </c>
      <c r="H450" s="4">
        <v>1.89</v>
      </c>
      <c r="I450" t="s">
        <v>19</v>
      </c>
      <c r="J450">
        <v>45</v>
      </c>
      <c r="K450">
        <v>0</v>
      </c>
      <c r="L450">
        <v>6</v>
      </c>
      <c r="M450" s="5">
        <v>4.7</v>
      </c>
      <c r="N450" s="4">
        <f t="shared" ref="N450:N513" si="7">G450*H450</f>
        <v>1.89</v>
      </c>
      <c r="O450">
        <f>HOUR(TIMEVALUE(RetailTransactions[[#This Row],[Time]]))</f>
        <v>13</v>
      </c>
    </row>
    <row r="451" spans="1:15">
      <c r="A451" t="s">
        <v>646</v>
      </c>
      <c r="B451" s="3">
        <v>46206</v>
      </c>
      <c r="C451" t="s">
        <v>132</v>
      </c>
      <c r="D451" t="s">
        <v>72</v>
      </c>
      <c r="E451" t="s">
        <v>106</v>
      </c>
      <c r="F451" t="s">
        <v>18</v>
      </c>
      <c r="G451">
        <v>2</v>
      </c>
      <c r="H451" s="4">
        <v>1.89</v>
      </c>
      <c r="I451" t="s">
        <v>19</v>
      </c>
      <c r="J451">
        <v>45</v>
      </c>
      <c r="K451">
        <v>0</v>
      </c>
      <c r="L451">
        <v>8</v>
      </c>
      <c r="M451" s="5">
        <v>4.7</v>
      </c>
      <c r="N451" s="4">
        <f t="shared" si="7"/>
        <v>3.78</v>
      </c>
      <c r="O451">
        <f>HOUR(TIMEVALUE(RetailTransactions[[#This Row],[Time]]))</f>
        <v>19</v>
      </c>
    </row>
    <row r="452" spans="1:15">
      <c r="A452" t="s">
        <v>647</v>
      </c>
      <c r="B452" s="3">
        <v>46229</v>
      </c>
      <c r="C452" t="s">
        <v>269</v>
      </c>
      <c r="D452" t="s">
        <v>27</v>
      </c>
      <c r="E452" t="s">
        <v>46</v>
      </c>
      <c r="F452" t="s">
        <v>24</v>
      </c>
      <c r="G452">
        <v>1</v>
      </c>
      <c r="H452" s="4">
        <v>1.79</v>
      </c>
      <c r="I452" t="s">
        <v>19</v>
      </c>
      <c r="J452">
        <v>28</v>
      </c>
      <c r="K452">
        <v>0</v>
      </c>
      <c r="L452">
        <v>6</v>
      </c>
      <c r="M452" s="5">
        <v>4.7</v>
      </c>
      <c r="N452" s="4">
        <f t="shared" si="7"/>
        <v>1.79</v>
      </c>
      <c r="O452">
        <f>HOUR(TIMEVALUE(RetailTransactions[[#This Row],[Time]]))</f>
        <v>17</v>
      </c>
    </row>
    <row r="453" spans="1:15">
      <c r="A453" t="s">
        <v>648</v>
      </c>
      <c r="B453" s="3">
        <v>46191</v>
      </c>
      <c r="C453" t="s">
        <v>365</v>
      </c>
      <c r="D453" t="s">
        <v>37</v>
      </c>
      <c r="E453" t="s">
        <v>46</v>
      </c>
      <c r="F453" t="s">
        <v>24</v>
      </c>
      <c r="G453">
        <v>1</v>
      </c>
      <c r="H453" s="4">
        <v>1.79</v>
      </c>
      <c r="I453" t="s">
        <v>19</v>
      </c>
      <c r="J453">
        <v>53</v>
      </c>
      <c r="K453">
        <v>0</v>
      </c>
      <c r="L453">
        <v>8</v>
      </c>
      <c r="M453" s="5">
        <v>6.3</v>
      </c>
      <c r="N453" s="4">
        <f t="shared" si="7"/>
        <v>1.79</v>
      </c>
      <c r="O453">
        <f>HOUR(TIMEVALUE(RetailTransactions[[#This Row],[Time]]))</f>
        <v>19</v>
      </c>
    </row>
    <row r="454" spans="1:15">
      <c r="A454" t="s">
        <v>649</v>
      </c>
      <c r="B454" s="3">
        <v>46246</v>
      </c>
      <c r="C454" t="s">
        <v>247</v>
      </c>
      <c r="D454" t="s">
        <v>16</v>
      </c>
      <c r="E454" t="s">
        <v>28</v>
      </c>
      <c r="F454" t="s">
        <v>29</v>
      </c>
      <c r="G454">
        <v>1</v>
      </c>
      <c r="H454" s="4">
        <v>2.8</v>
      </c>
      <c r="I454" t="s">
        <v>30</v>
      </c>
      <c r="J454">
        <v>16</v>
      </c>
      <c r="K454">
        <v>0</v>
      </c>
      <c r="L454">
        <v>9</v>
      </c>
      <c r="M454" s="5">
        <v>5.0999999999999996</v>
      </c>
      <c r="N454" s="4">
        <f t="shared" si="7"/>
        <v>2.8</v>
      </c>
      <c r="O454">
        <f>HOUR(TIMEVALUE(RetailTransactions[[#This Row],[Time]]))</f>
        <v>17</v>
      </c>
    </row>
    <row r="455" spans="1:15">
      <c r="A455" t="s">
        <v>650</v>
      </c>
      <c r="B455" s="3">
        <v>46250</v>
      </c>
      <c r="C455" t="s">
        <v>68</v>
      </c>
      <c r="D455" t="s">
        <v>27</v>
      </c>
      <c r="E455" t="s">
        <v>106</v>
      </c>
      <c r="F455" t="s">
        <v>18</v>
      </c>
      <c r="G455">
        <v>1</v>
      </c>
      <c r="H455" s="4">
        <v>1.89</v>
      </c>
      <c r="I455" t="s">
        <v>19</v>
      </c>
      <c r="J455">
        <v>6</v>
      </c>
      <c r="K455">
        <v>0</v>
      </c>
      <c r="L455">
        <v>4</v>
      </c>
      <c r="M455" s="5">
        <v>2.9</v>
      </c>
      <c r="N455" s="4">
        <f t="shared" si="7"/>
        <v>1.89</v>
      </c>
      <c r="O455">
        <f>HOUR(TIMEVALUE(RetailTransactions[[#This Row],[Time]]))</f>
        <v>16</v>
      </c>
    </row>
    <row r="456" spans="1:15">
      <c r="A456" t="s">
        <v>651</v>
      </c>
      <c r="B456" s="3">
        <v>46241</v>
      </c>
      <c r="C456" t="s">
        <v>215</v>
      </c>
      <c r="D456" t="s">
        <v>72</v>
      </c>
      <c r="E456" t="s">
        <v>69</v>
      </c>
      <c r="F456" t="s">
        <v>43</v>
      </c>
      <c r="G456">
        <v>1</v>
      </c>
      <c r="H456" s="4">
        <v>1.99</v>
      </c>
      <c r="I456" t="s">
        <v>19</v>
      </c>
      <c r="J456">
        <v>25</v>
      </c>
      <c r="K456">
        <v>0</v>
      </c>
      <c r="L456">
        <v>7</v>
      </c>
      <c r="M456" s="5">
        <v>4.4000000000000004</v>
      </c>
      <c r="N456" s="4">
        <f t="shared" si="7"/>
        <v>1.99</v>
      </c>
      <c r="O456">
        <f>HOUR(TIMEVALUE(RetailTransactions[[#This Row],[Time]]))</f>
        <v>12</v>
      </c>
    </row>
    <row r="457" spans="1:15">
      <c r="A457" t="s">
        <v>652</v>
      </c>
      <c r="B457" s="3">
        <v>46178</v>
      </c>
      <c r="C457" t="s">
        <v>71</v>
      </c>
      <c r="D457" t="s">
        <v>72</v>
      </c>
      <c r="E457" t="s">
        <v>78</v>
      </c>
      <c r="F457" t="s">
        <v>39</v>
      </c>
      <c r="G457">
        <v>1</v>
      </c>
      <c r="H457" s="4">
        <v>1.55</v>
      </c>
      <c r="I457" t="s">
        <v>19</v>
      </c>
      <c r="J457">
        <v>60</v>
      </c>
      <c r="K457">
        <v>0</v>
      </c>
      <c r="L457">
        <v>8</v>
      </c>
      <c r="M457" s="5">
        <v>5.2</v>
      </c>
      <c r="N457" s="4">
        <f t="shared" si="7"/>
        <v>1.55</v>
      </c>
      <c r="O457">
        <f>HOUR(TIMEVALUE(RetailTransactions[[#This Row],[Time]]))</f>
        <v>17</v>
      </c>
    </row>
    <row r="458" spans="1:15">
      <c r="A458" t="s">
        <v>653</v>
      </c>
      <c r="B458" s="3">
        <v>46215</v>
      </c>
      <c r="C458" t="s">
        <v>539</v>
      </c>
      <c r="D458" t="s">
        <v>27</v>
      </c>
      <c r="E458" t="s">
        <v>69</v>
      </c>
      <c r="F458" t="s">
        <v>43</v>
      </c>
      <c r="G458">
        <v>3</v>
      </c>
      <c r="H458" s="4">
        <v>1.99</v>
      </c>
      <c r="I458" t="s">
        <v>19</v>
      </c>
      <c r="J458">
        <v>23</v>
      </c>
      <c r="K458">
        <v>0</v>
      </c>
      <c r="L458">
        <v>4</v>
      </c>
      <c r="M458" s="5">
        <v>4.5</v>
      </c>
      <c r="N458" s="4">
        <f t="shared" si="7"/>
        <v>5.97</v>
      </c>
      <c r="O458">
        <f>HOUR(TIMEVALUE(RetailTransactions[[#This Row],[Time]]))</f>
        <v>10</v>
      </c>
    </row>
    <row r="459" spans="1:15">
      <c r="A459" t="s">
        <v>654</v>
      </c>
      <c r="B459" s="3">
        <v>46178</v>
      </c>
      <c r="C459" t="s">
        <v>314</v>
      </c>
      <c r="D459" t="s">
        <v>72</v>
      </c>
      <c r="E459" t="s">
        <v>57</v>
      </c>
      <c r="F459" t="s">
        <v>43</v>
      </c>
      <c r="G459">
        <v>1</v>
      </c>
      <c r="H459" s="4">
        <v>1.69</v>
      </c>
      <c r="I459" t="s">
        <v>19</v>
      </c>
      <c r="J459">
        <v>43</v>
      </c>
      <c r="K459">
        <v>0</v>
      </c>
      <c r="L459">
        <v>6</v>
      </c>
      <c r="M459" s="5">
        <v>2.2999999999999998</v>
      </c>
      <c r="N459" s="4">
        <f t="shared" si="7"/>
        <v>1.69</v>
      </c>
      <c r="O459">
        <f>HOUR(TIMEVALUE(RetailTransactions[[#This Row],[Time]]))</f>
        <v>14</v>
      </c>
    </row>
    <row r="460" spans="1:15">
      <c r="A460" t="s">
        <v>655</v>
      </c>
      <c r="B460" s="3">
        <v>46242</v>
      </c>
      <c r="C460" t="s">
        <v>340</v>
      </c>
      <c r="D460" t="s">
        <v>66</v>
      </c>
      <c r="E460" t="s">
        <v>57</v>
      </c>
      <c r="F460" t="s">
        <v>43</v>
      </c>
      <c r="G460">
        <v>2</v>
      </c>
      <c r="H460" s="4">
        <v>1.44</v>
      </c>
      <c r="I460" t="s">
        <v>30</v>
      </c>
      <c r="J460">
        <v>44</v>
      </c>
      <c r="K460">
        <v>1</v>
      </c>
      <c r="L460">
        <v>8</v>
      </c>
      <c r="M460" s="5">
        <v>3.4</v>
      </c>
      <c r="N460" s="4">
        <f t="shared" si="7"/>
        <v>2.88</v>
      </c>
      <c r="O460">
        <f>HOUR(TIMEVALUE(RetailTransactions[[#This Row],[Time]]))</f>
        <v>19</v>
      </c>
    </row>
    <row r="461" spans="1:15">
      <c r="A461" t="s">
        <v>656</v>
      </c>
      <c r="B461" s="3">
        <v>46201</v>
      </c>
      <c r="C461" t="s">
        <v>458</v>
      </c>
      <c r="D461" t="s">
        <v>27</v>
      </c>
      <c r="E461" t="s">
        <v>120</v>
      </c>
      <c r="F461" t="s">
        <v>50</v>
      </c>
      <c r="G461">
        <v>2</v>
      </c>
      <c r="H461" s="4">
        <v>1.91</v>
      </c>
      <c r="I461" t="s">
        <v>30</v>
      </c>
      <c r="J461">
        <v>44</v>
      </c>
      <c r="K461">
        <v>0</v>
      </c>
      <c r="L461">
        <v>8</v>
      </c>
      <c r="M461" s="5">
        <v>2.7</v>
      </c>
      <c r="N461" s="4">
        <f t="shared" si="7"/>
        <v>3.82</v>
      </c>
      <c r="O461">
        <f>HOUR(TIMEVALUE(RetailTransactions[[#This Row],[Time]]))</f>
        <v>13</v>
      </c>
    </row>
    <row r="462" spans="1:15">
      <c r="A462" t="s">
        <v>657</v>
      </c>
      <c r="B462" s="3">
        <v>46240</v>
      </c>
      <c r="C462" t="s">
        <v>543</v>
      </c>
      <c r="D462" t="s">
        <v>37</v>
      </c>
      <c r="E462" t="s">
        <v>63</v>
      </c>
      <c r="F462" t="s">
        <v>50</v>
      </c>
      <c r="G462">
        <v>2</v>
      </c>
      <c r="H462" s="4">
        <v>3.49</v>
      </c>
      <c r="I462" t="s">
        <v>19</v>
      </c>
      <c r="J462">
        <v>13</v>
      </c>
      <c r="K462">
        <v>0</v>
      </c>
      <c r="L462">
        <v>6</v>
      </c>
      <c r="M462" s="5">
        <v>2.2999999999999998</v>
      </c>
      <c r="N462" s="4">
        <f t="shared" si="7"/>
        <v>6.98</v>
      </c>
      <c r="O462">
        <f>HOUR(TIMEVALUE(RetailTransactions[[#This Row],[Time]]))</f>
        <v>15</v>
      </c>
    </row>
    <row r="463" spans="1:15">
      <c r="A463" t="s">
        <v>658</v>
      </c>
      <c r="B463" s="3">
        <v>46203</v>
      </c>
      <c r="C463" t="s">
        <v>258</v>
      </c>
      <c r="D463" t="s">
        <v>22</v>
      </c>
      <c r="E463" t="s">
        <v>85</v>
      </c>
      <c r="F463" t="s">
        <v>18</v>
      </c>
      <c r="G463">
        <v>1</v>
      </c>
      <c r="H463" s="4">
        <v>2.4900000000000002</v>
      </c>
      <c r="I463" t="s">
        <v>19</v>
      </c>
      <c r="J463">
        <v>57</v>
      </c>
      <c r="K463">
        <v>0</v>
      </c>
      <c r="L463">
        <v>7</v>
      </c>
      <c r="M463" s="5">
        <v>1.3</v>
      </c>
      <c r="N463" s="4">
        <f t="shared" si="7"/>
        <v>2.4900000000000002</v>
      </c>
      <c r="O463">
        <f>HOUR(TIMEVALUE(RetailTransactions[[#This Row],[Time]]))</f>
        <v>16</v>
      </c>
    </row>
    <row r="464" spans="1:15">
      <c r="A464" t="s">
        <v>659</v>
      </c>
      <c r="B464" s="3">
        <v>46221</v>
      </c>
      <c r="C464" t="s">
        <v>144</v>
      </c>
      <c r="D464" t="s">
        <v>66</v>
      </c>
      <c r="E464" t="s">
        <v>78</v>
      </c>
      <c r="F464" t="s">
        <v>39</v>
      </c>
      <c r="G464">
        <v>3</v>
      </c>
      <c r="H464" s="4">
        <v>1.55</v>
      </c>
      <c r="I464" t="s">
        <v>19</v>
      </c>
      <c r="J464">
        <v>23</v>
      </c>
      <c r="K464">
        <v>0</v>
      </c>
      <c r="L464">
        <v>9</v>
      </c>
      <c r="M464" s="5">
        <v>5.2</v>
      </c>
      <c r="N464" s="4">
        <f t="shared" si="7"/>
        <v>4.6500000000000004</v>
      </c>
      <c r="O464">
        <f>HOUR(TIMEVALUE(RetailTransactions[[#This Row],[Time]]))</f>
        <v>17</v>
      </c>
    </row>
    <row r="465" spans="1:15">
      <c r="A465" t="s">
        <v>660</v>
      </c>
      <c r="B465" s="3">
        <v>46200</v>
      </c>
      <c r="C465" t="s">
        <v>277</v>
      </c>
      <c r="D465" t="s">
        <v>66</v>
      </c>
      <c r="E465" t="s">
        <v>125</v>
      </c>
      <c r="F465" t="s">
        <v>39</v>
      </c>
      <c r="G465">
        <v>2</v>
      </c>
      <c r="H465" s="4">
        <v>1.85</v>
      </c>
      <c r="I465" t="s">
        <v>19</v>
      </c>
      <c r="J465">
        <v>40</v>
      </c>
      <c r="K465">
        <v>0</v>
      </c>
      <c r="L465">
        <v>5</v>
      </c>
      <c r="M465" s="5">
        <v>5.2</v>
      </c>
      <c r="N465" s="4">
        <f t="shared" si="7"/>
        <v>3.7</v>
      </c>
      <c r="O465">
        <f>HOUR(TIMEVALUE(RetailTransactions[[#This Row],[Time]]))</f>
        <v>9</v>
      </c>
    </row>
    <row r="466" spans="1:15">
      <c r="A466" t="s">
        <v>661</v>
      </c>
      <c r="B466" s="3">
        <v>46185</v>
      </c>
      <c r="C466" t="s">
        <v>397</v>
      </c>
      <c r="D466" t="s">
        <v>72</v>
      </c>
      <c r="E466" t="s">
        <v>46</v>
      </c>
      <c r="F466" t="s">
        <v>24</v>
      </c>
      <c r="G466">
        <v>1</v>
      </c>
      <c r="H466" s="4">
        <v>1.79</v>
      </c>
      <c r="I466" t="s">
        <v>19</v>
      </c>
      <c r="J466">
        <v>49</v>
      </c>
      <c r="K466">
        <v>2</v>
      </c>
      <c r="L466">
        <v>7</v>
      </c>
      <c r="M466" s="5">
        <v>2.4</v>
      </c>
      <c r="N466" s="4">
        <f t="shared" si="7"/>
        <v>1.79</v>
      </c>
      <c r="O466">
        <f>HOUR(TIMEVALUE(RetailTransactions[[#This Row],[Time]]))</f>
        <v>21</v>
      </c>
    </row>
    <row r="467" spans="1:15">
      <c r="A467" t="s">
        <v>662</v>
      </c>
      <c r="B467" s="3">
        <v>46220</v>
      </c>
      <c r="C467" t="s">
        <v>156</v>
      </c>
      <c r="D467" t="s">
        <v>72</v>
      </c>
      <c r="E467" t="s">
        <v>115</v>
      </c>
      <c r="F467" t="s">
        <v>29</v>
      </c>
      <c r="G467">
        <v>3</v>
      </c>
      <c r="H467" s="4">
        <v>3.99</v>
      </c>
      <c r="I467" t="s">
        <v>19</v>
      </c>
      <c r="J467">
        <v>16</v>
      </c>
      <c r="K467">
        <v>0</v>
      </c>
      <c r="L467">
        <v>4</v>
      </c>
      <c r="M467" s="5">
        <v>3.3</v>
      </c>
      <c r="N467" s="4">
        <f t="shared" si="7"/>
        <v>11.97</v>
      </c>
      <c r="O467">
        <f>HOUR(TIMEVALUE(RetailTransactions[[#This Row],[Time]]))</f>
        <v>16</v>
      </c>
    </row>
    <row r="468" spans="1:15">
      <c r="A468" t="s">
        <v>663</v>
      </c>
      <c r="B468" s="3">
        <v>46183</v>
      </c>
      <c r="C468" t="s">
        <v>93</v>
      </c>
      <c r="D468" t="s">
        <v>16</v>
      </c>
      <c r="E468" t="s">
        <v>115</v>
      </c>
      <c r="F468" t="s">
        <v>29</v>
      </c>
      <c r="G468">
        <v>1</v>
      </c>
      <c r="H468" s="4">
        <v>3.99</v>
      </c>
      <c r="I468" t="s">
        <v>19</v>
      </c>
      <c r="J468">
        <v>14</v>
      </c>
      <c r="K468">
        <v>0</v>
      </c>
      <c r="L468">
        <v>8</v>
      </c>
      <c r="M468" s="5">
        <v>4.7</v>
      </c>
      <c r="N468" s="4">
        <f t="shared" si="7"/>
        <v>3.99</v>
      </c>
      <c r="O468">
        <f>HOUR(TIMEVALUE(RetailTransactions[[#This Row],[Time]]))</f>
        <v>12</v>
      </c>
    </row>
    <row r="469" spans="1:15">
      <c r="A469" t="s">
        <v>664</v>
      </c>
      <c r="B469" s="3">
        <v>46245</v>
      </c>
      <c r="C469" t="s">
        <v>144</v>
      </c>
      <c r="D469" t="s">
        <v>22</v>
      </c>
      <c r="E469" t="s">
        <v>63</v>
      </c>
      <c r="F469" t="s">
        <v>50</v>
      </c>
      <c r="G469">
        <v>3</v>
      </c>
      <c r="H469" s="4">
        <v>3.49</v>
      </c>
      <c r="I469" t="s">
        <v>19</v>
      </c>
      <c r="J469">
        <v>38</v>
      </c>
      <c r="K469">
        <v>0</v>
      </c>
      <c r="L469">
        <v>7</v>
      </c>
      <c r="M469" s="5">
        <v>5.6</v>
      </c>
      <c r="N469" s="4">
        <f t="shared" si="7"/>
        <v>10.47</v>
      </c>
      <c r="O469">
        <f>HOUR(TIMEVALUE(RetailTransactions[[#This Row],[Time]]))</f>
        <v>17</v>
      </c>
    </row>
    <row r="470" spans="1:15">
      <c r="A470" t="s">
        <v>665</v>
      </c>
      <c r="B470" s="3">
        <v>46186</v>
      </c>
      <c r="C470" t="s">
        <v>327</v>
      </c>
      <c r="D470" t="s">
        <v>66</v>
      </c>
      <c r="E470" t="s">
        <v>78</v>
      </c>
      <c r="F470" t="s">
        <v>39</v>
      </c>
      <c r="G470">
        <v>1</v>
      </c>
      <c r="H470" s="4">
        <v>1.32</v>
      </c>
      <c r="I470" t="s">
        <v>30</v>
      </c>
      <c r="J470">
        <v>3</v>
      </c>
      <c r="K470">
        <v>0</v>
      </c>
      <c r="L470">
        <v>8</v>
      </c>
      <c r="M470" s="5">
        <v>3.1</v>
      </c>
      <c r="N470" s="4">
        <f t="shared" si="7"/>
        <v>1.32</v>
      </c>
      <c r="O470">
        <f>HOUR(TIMEVALUE(RetailTransactions[[#This Row],[Time]]))</f>
        <v>19</v>
      </c>
    </row>
    <row r="471" spans="1:15">
      <c r="A471" t="s">
        <v>666</v>
      </c>
      <c r="B471" s="3">
        <v>46196</v>
      </c>
      <c r="C471" t="s">
        <v>325</v>
      </c>
      <c r="D471" t="s">
        <v>22</v>
      </c>
      <c r="E471" t="s">
        <v>49</v>
      </c>
      <c r="F471" t="s">
        <v>50</v>
      </c>
      <c r="G471">
        <v>1</v>
      </c>
      <c r="H471" s="4">
        <v>3.95</v>
      </c>
      <c r="I471" t="s">
        <v>19</v>
      </c>
      <c r="J471">
        <v>44</v>
      </c>
      <c r="K471">
        <v>0</v>
      </c>
      <c r="L471">
        <v>4</v>
      </c>
      <c r="M471" s="5">
        <v>4.7</v>
      </c>
      <c r="N471" s="4">
        <f t="shared" si="7"/>
        <v>3.95</v>
      </c>
      <c r="O471">
        <f>HOUR(TIMEVALUE(RetailTransactions[[#This Row],[Time]]))</f>
        <v>21</v>
      </c>
    </row>
    <row r="472" spans="1:15">
      <c r="A472" t="s">
        <v>667</v>
      </c>
      <c r="B472" s="3">
        <v>46246</v>
      </c>
      <c r="C472" t="s">
        <v>232</v>
      </c>
      <c r="D472" t="s">
        <v>16</v>
      </c>
      <c r="E472" t="s">
        <v>125</v>
      </c>
      <c r="F472" t="s">
        <v>39</v>
      </c>
      <c r="G472">
        <v>1</v>
      </c>
      <c r="H472" s="4">
        <v>1.85</v>
      </c>
      <c r="I472" t="s">
        <v>19</v>
      </c>
      <c r="J472">
        <v>32</v>
      </c>
      <c r="K472">
        <v>0</v>
      </c>
      <c r="L472">
        <v>8</v>
      </c>
      <c r="M472" s="5">
        <v>4.8</v>
      </c>
      <c r="N472" s="4">
        <f t="shared" si="7"/>
        <v>1.85</v>
      </c>
      <c r="O472">
        <f>HOUR(TIMEVALUE(RetailTransactions[[#This Row],[Time]]))</f>
        <v>19</v>
      </c>
    </row>
    <row r="473" spans="1:15">
      <c r="A473" t="s">
        <v>668</v>
      </c>
      <c r="B473" s="3">
        <v>46231</v>
      </c>
      <c r="C473" t="s">
        <v>71</v>
      </c>
      <c r="D473" t="s">
        <v>22</v>
      </c>
      <c r="E473" t="s">
        <v>85</v>
      </c>
      <c r="F473" t="s">
        <v>18</v>
      </c>
      <c r="G473">
        <v>3</v>
      </c>
      <c r="H473" s="4">
        <v>2.4900000000000002</v>
      </c>
      <c r="I473" t="s">
        <v>19</v>
      </c>
      <c r="J473">
        <v>60</v>
      </c>
      <c r="K473">
        <v>0</v>
      </c>
      <c r="L473">
        <v>7</v>
      </c>
      <c r="M473" s="5">
        <v>5.0999999999999996</v>
      </c>
      <c r="N473" s="4">
        <f t="shared" si="7"/>
        <v>7.4700000000000006</v>
      </c>
      <c r="O473">
        <f>HOUR(TIMEVALUE(RetailTransactions[[#This Row],[Time]]))</f>
        <v>17</v>
      </c>
    </row>
    <row r="474" spans="1:15">
      <c r="A474" t="s">
        <v>669</v>
      </c>
      <c r="B474" s="3">
        <v>46186</v>
      </c>
      <c r="C474" t="s">
        <v>307</v>
      </c>
      <c r="D474" t="s">
        <v>66</v>
      </c>
      <c r="E474" t="s">
        <v>57</v>
      </c>
      <c r="F474" t="s">
        <v>43</v>
      </c>
      <c r="G474">
        <v>1</v>
      </c>
      <c r="H474" s="4">
        <v>1.69</v>
      </c>
      <c r="I474" t="s">
        <v>19</v>
      </c>
      <c r="J474">
        <v>56</v>
      </c>
      <c r="K474">
        <v>0</v>
      </c>
      <c r="L474">
        <v>7</v>
      </c>
      <c r="M474" s="5">
        <v>4.5</v>
      </c>
      <c r="N474" s="4">
        <f t="shared" si="7"/>
        <v>1.69</v>
      </c>
      <c r="O474">
        <f>HOUR(TIMEVALUE(RetailTransactions[[#This Row],[Time]]))</f>
        <v>19</v>
      </c>
    </row>
    <row r="475" spans="1:15">
      <c r="A475" t="s">
        <v>670</v>
      </c>
      <c r="B475" s="3">
        <v>46183</v>
      </c>
      <c r="C475" t="s">
        <v>200</v>
      </c>
      <c r="D475" t="s">
        <v>16</v>
      </c>
      <c r="E475" t="s">
        <v>115</v>
      </c>
      <c r="F475" t="s">
        <v>29</v>
      </c>
      <c r="G475">
        <v>2</v>
      </c>
      <c r="H475" s="4">
        <v>3.99</v>
      </c>
      <c r="I475" t="s">
        <v>19</v>
      </c>
      <c r="J475">
        <v>58</v>
      </c>
      <c r="K475">
        <v>0</v>
      </c>
      <c r="L475">
        <v>4</v>
      </c>
      <c r="M475" s="5">
        <v>4.8</v>
      </c>
      <c r="N475" s="4">
        <f t="shared" si="7"/>
        <v>7.98</v>
      </c>
      <c r="O475">
        <f>HOUR(TIMEVALUE(RetailTransactions[[#This Row],[Time]]))</f>
        <v>9</v>
      </c>
    </row>
    <row r="476" spans="1:15">
      <c r="A476" t="s">
        <v>671</v>
      </c>
      <c r="B476" s="3">
        <v>46210</v>
      </c>
      <c r="C476" t="s">
        <v>672</v>
      </c>
      <c r="D476" t="s">
        <v>22</v>
      </c>
      <c r="E476" t="s">
        <v>42</v>
      </c>
      <c r="F476" t="s">
        <v>43</v>
      </c>
      <c r="G476">
        <v>1</v>
      </c>
      <c r="H476" s="4">
        <v>1.39</v>
      </c>
      <c r="I476" t="s">
        <v>19</v>
      </c>
      <c r="J476">
        <v>30</v>
      </c>
      <c r="K476">
        <v>2</v>
      </c>
      <c r="L476">
        <v>7</v>
      </c>
      <c r="M476" s="5">
        <v>1.4</v>
      </c>
      <c r="N476" s="4">
        <f t="shared" si="7"/>
        <v>1.39</v>
      </c>
      <c r="O476">
        <f>HOUR(TIMEVALUE(RetailTransactions[[#This Row],[Time]]))</f>
        <v>16</v>
      </c>
    </row>
    <row r="477" spans="1:15">
      <c r="A477" t="s">
        <v>673</v>
      </c>
      <c r="B477" s="3">
        <v>46237</v>
      </c>
      <c r="C477" t="s">
        <v>340</v>
      </c>
      <c r="D477" t="s">
        <v>33</v>
      </c>
      <c r="E477" t="s">
        <v>17</v>
      </c>
      <c r="F477" t="s">
        <v>18</v>
      </c>
      <c r="G477">
        <v>1</v>
      </c>
      <c r="H477" s="4">
        <v>1.75</v>
      </c>
      <c r="I477" t="s">
        <v>19</v>
      </c>
      <c r="J477">
        <v>60</v>
      </c>
      <c r="K477">
        <v>0</v>
      </c>
      <c r="L477">
        <v>8</v>
      </c>
      <c r="M477" s="5">
        <v>3.6</v>
      </c>
      <c r="N477" s="4">
        <f t="shared" si="7"/>
        <v>1.75</v>
      </c>
      <c r="O477">
        <f>HOUR(TIMEVALUE(RetailTransactions[[#This Row],[Time]]))</f>
        <v>19</v>
      </c>
    </row>
    <row r="478" spans="1:15">
      <c r="A478" t="s">
        <v>674</v>
      </c>
      <c r="B478" s="3">
        <v>46182</v>
      </c>
      <c r="C478" t="s">
        <v>230</v>
      </c>
      <c r="D478" t="s">
        <v>22</v>
      </c>
      <c r="E478" t="s">
        <v>69</v>
      </c>
      <c r="F478" t="s">
        <v>43</v>
      </c>
      <c r="G478">
        <v>3</v>
      </c>
      <c r="H478" s="4">
        <v>1.69</v>
      </c>
      <c r="I478" t="s">
        <v>30</v>
      </c>
      <c r="J478">
        <v>50</v>
      </c>
      <c r="K478">
        <v>1</v>
      </c>
      <c r="L478">
        <v>8</v>
      </c>
      <c r="M478" s="5">
        <v>5.6</v>
      </c>
      <c r="N478" s="4">
        <f t="shared" si="7"/>
        <v>5.07</v>
      </c>
      <c r="O478">
        <f>HOUR(TIMEVALUE(RetailTransactions[[#This Row],[Time]]))</f>
        <v>13</v>
      </c>
    </row>
    <row r="479" spans="1:15">
      <c r="A479" t="s">
        <v>675</v>
      </c>
      <c r="B479" s="3">
        <v>46191</v>
      </c>
      <c r="C479" t="s">
        <v>508</v>
      </c>
      <c r="D479" t="s">
        <v>37</v>
      </c>
      <c r="E479" t="s">
        <v>63</v>
      </c>
      <c r="F479" t="s">
        <v>50</v>
      </c>
      <c r="G479">
        <v>1</v>
      </c>
      <c r="H479" s="4">
        <v>3.49</v>
      </c>
      <c r="I479" t="s">
        <v>19</v>
      </c>
      <c r="J479">
        <v>7</v>
      </c>
      <c r="K479">
        <v>0</v>
      </c>
      <c r="L479">
        <v>7</v>
      </c>
      <c r="M479" s="5">
        <v>2.5</v>
      </c>
      <c r="N479" s="4">
        <f t="shared" si="7"/>
        <v>3.49</v>
      </c>
      <c r="O479">
        <f>HOUR(TIMEVALUE(RetailTransactions[[#This Row],[Time]]))</f>
        <v>11</v>
      </c>
    </row>
    <row r="480" spans="1:15">
      <c r="A480" t="s">
        <v>676</v>
      </c>
      <c r="B480" s="3">
        <v>46224</v>
      </c>
      <c r="C480" t="s">
        <v>519</v>
      </c>
      <c r="D480" t="s">
        <v>22</v>
      </c>
      <c r="E480" t="s">
        <v>49</v>
      </c>
      <c r="F480" t="s">
        <v>50</v>
      </c>
      <c r="G480">
        <v>1</v>
      </c>
      <c r="H480" s="4">
        <v>3.36</v>
      </c>
      <c r="I480" t="s">
        <v>30</v>
      </c>
      <c r="J480">
        <v>25</v>
      </c>
      <c r="K480">
        <v>0</v>
      </c>
      <c r="L480">
        <v>7</v>
      </c>
      <c r="M480" s="5">
        <v>3.2</v>
      </c>
      <c r="N480" s="4">
        <f t="shared" si="7"/>
        <v>3.36</v>
      </c>
      <c r="O480">
        <f>HOUR(TIMEVALUE(RetailTransactions[[#This Row],[Time]]))</f>
        <v>13</v>
      </c>
    </row>
    <row r="481" spans="1:15">
      <c r="A481" t="s">
        <v>677</v>
      </c>
      <c r="B481" s="3">
        <v>46223</v>
      </c>
      <c r="C481" t="s">
        <v>36</v>
      </c>
      <c r="D481" t="s">
        <v>33</v>
      </c>
      <c r="E481" t="s">
        <v>106</v>
      </c>
      <c r="F481" t="s">
        <v>18</v>
      </c>
      <c r="G481">
        <v>1</v>
      </c>
      <c r="H481" s="4">
        <v>1.89</v>
      </c>
      <c r="I481" t="s">
        <v>19</v>
      </c>
      <c r="J481">
        <v>28</v>
      </c>
      <c r="K481">
        <v>0</v>
      </c>
      <c r="L481">
        <v>9</v>
      </c>
      <c r="M481" s="5">
        <v>4.8</v>
      </c>
      <c r="N481" s="4">
        <f t="shared" si="7"/>
        <v>1.89</v>
      </c>
      <c r="O481">
        <f>HOUR(TIMEVALUE(RetailTransactions[[#This Row],[Time]]))</f>
        <v>12</v>
      </c>
    </row>
    <row r="482" spans="1:15">
      <c r="A482" t="s">
        <v>678</v>
      </c>
      <c r="B482" s="3">
        <v>46187</v>
      </c>
      <c r="C482" t="s">
        <v>303</v>
      </c>
      <c r="D482" t="s">
        <v>27</v>
      </c>
      <c r="E482" t="s">
        <v>63</v>
      </c>
      <c r="F482" t="s">
        <v>50</v>
      </c>
      <c r="G482">
        <v>1</v>
      </c>
      <c r="H482" s="4">
        <v>2.97</v>
      </c>
      <c r="I482" t="s">
        <v>30</v>
      </c>
      <c r="J482">
        <v>27</v>
      </c>
      <c r="K482">
        <v>0</v>
      </c>
      <c r="L482">
        <v>5</v>
      </c>
      <c r="M482" s="5">
        <v>3.9</v>
      </c>
      <c r="N482" s="4">
        <f t="shared" si="7"/>
        <v>2.97</v>
      </c>
      <c r="O482">
        <f>HOUR(TIMEVALUE(RetailTransactions[[#This Row],[Time]]))</f>
        <v>16</v>
      </c>
    </row>
    <row r="483" spans="1:15">
      <c r="A483" t="s">
        <v>679</v>
      </c>
      <c r="B483" s="3">
        <v>46215</v>
      </c>
      <c r="C483" t="s">
        <v>163</v>
      </c>
      <c r="D483" t="s">
        <v>27</v>
      </c>
      <c r="E483" t="s">
        <v>85</v>
      </c>
      <c r="F483" t="s">
        <v>18</v>
      </c>
      <c r="G483">
        <v>1</v>
      </c>
      <c r="H483" s="4">
        <v>2.4900000000000002</v>
      </c>
      <c r="I483" t="s">
        <v>19</v>
      </c>
      <c r="J483">
        <v>58</v>
      </c>
      <c r="K483">
        <v>0</v>
      </c>
      <c r="L483">
        <v>9</v>
      </c>
      <c r="M483" s="5">
        <v>4.7</v>
      </c>
      <c r="N483" s="4">
        <f t="shared" si="7"/>
        <v>2.4900000000000002</v>
      </c>
      <c r="O483">
        <f>HOUR(TIMEVALUE(RetailTransactions[[#This Row],[Time]]))</f>
        <v>17</v>
      </c>
    </row>
    <row r="484" spans="1:15">
      <c r="A484" t="s">
        <v>680</v>
      </c>
      <c r="B484" s="3">
        <v>46237</v>
      </c>
      <c r="C484" t="s">
        <v>681</v>
      </c>
      <c r="D484" t="s">
        <v>33</v>
      </c>
      <c r="E484" t="s">
        <v>115</v>
      </c>
      <c r="F484" t="s">
        <v>29</v>
      </c>
      <c r="G484">
        <v>1</v>
      </c>
      <c r="H484" s="4">
        <v>3.99</v>
      </c>
      <c r="I484" t="s">
        <v>19</v>
      </c>
      <c r="J484">
        <v>12</v>
      </c>
      <c r="K484">
        <v>0</v>
      </c>
      <c r="L484">
        <v>6</v>
      </c>
      <c r="M484" s="5">
        <v>2.4</v>
      </c>
      <c r="N484" s="4">
        <f t="shared" si="7"/>
        <v>3.99</v>
      </c>
      <c r="O484">
        <f>HOUR(TIMEVALUE(RetailTransactions[[#This Row],[Time]]))</f>
        <v>10</v>
      </c>
    </row>
    <row r="485" spans="1:15">
      <c r="A485" t="s">
        <v>682</v>
      </c>
      <c r="B485" s="3">
        <v>46218</v>
      </c>
      <c r="C485" t="s">
        <v>122</v>
      </c>
      <c r="D485" t="s">
        <v>16</v>
      </c>
      <c r="E485" t="s">
        <v>34</v>
      </c>
      <c r="F485" t="s">
        <v>24</v>
      </c>
      <c r="G485">
        <v>1</v>
      </c>
      <c r="H485" s="4">
        <v>1.49</v>
      </c>
      <c r="I485" t="s">
        <v>19</v>
      </c>
      <c r="J485">
        <v>54</v>
      </c>
      <c r="K485">
        <v>1</v>
      </c>
      <c r="L485">
        <v>9</v>
      </c>
      <c r="M485" s="5">
        <v>4.2</v>
      </c>
      <c r="N485" s="4">
        <f t="shared" si="7"/>
        <v>1.49</v>
      </c>
      <c r="O485">
        <f>HOUR(TIMEVALUE(RetailTransactions[[#This Row],[Time]]))</f>
        <v>12</v>
      </c>
    </row>
    <row r="486" spans="1:15">
      <c r="A486" t="s">
        <v>683</v>
      </c>
      <c r="B486" s="3">
        <v>46206</v>
      </c>
      <c r="C486" t="s">
        <v>684</v>
      </c>
      <c r="D486" t="s">
        <v>72</v>
      </c>
      <c r="E486" t="s">
        <v>120</v>
      </c>
      <c r="F486" t="s">
        <v>50</v>
      </c>
      <c r="G486">
        <v>3</v>
      </c>
      <c r="H486" s="4">
        <v>2.25</v>
      </c>
      <c r="I486" t="s">
        <v>19</v>
      </c>
      <c r="J486">
        <v>18</v>
      </c>
      <c r="K486">
        <v>0</v>
      </c>
      <c r="L486">
        <v>5</v>
      </c>
      <c r="M486" s="5">
        <v>3.3</v>
      </c>
      <c r="N486" s="4">
        <f t="shared" si="7"/>
        <v>6.75</v>
      </c>
      <c r="O486">
        <f>HOUR(TIMEVALUE(RetailTransactions[[#This Row],[Time]]))</f>
        <v>21</v>
      </c>
    </row>
    <row r="487" spans="1:15">
      <c r="A487" t="s">
        <v>685</v>
      </c>
      <c r="B487" s="3">
        <v>46188</v>
      </c>
      <c r="C487" t="s">
        <v>300</v>
      </c>
      <c r="D487" t="s">
        <v>33</v>
      </c>
      <c r="E487" t="s">
        <v>34</v>
      </c>
      <c r="F487" t="s">
        <v>24</v>
      </c>
      <c r="G487">
        <v>2</v>
      </c>
      <c r="H487" s="4">
        <v>1.49</v>
      </c>
      <c r="I487" t="s">
        <v>19</v>
      </c>
      <c r="J487">
        <v>32</v>
      </c>
      <c r="K487">
        <v>0</v>
      </c>
      <c r="L487">
        <v>6</v>
      </c>
      <c r="M487" s="5">
        <v>4.5</v>
      </c>
      <c r="N487" s="4">
        <f t="shared" si="7"/>
        <v>2.98</v>
      </c>
      <c r="O487">
        <f>HOUR(TIMEVALUE(RetailTransactions[[#This Row],[Time]]))</f>
        <v>18</v>
      </c>
    </row>
    <row r="488" spans="1:15">
      <c r="A488" t="s">
        <v>686</v>
      </c>
      <c r="B488" s="3">
        <v>46244</v>
      </c>
      <c r="C488" t="s">
        <v>84</v>
      </c>
      <c r="D488" t="s">
        <v>33</v>
      </c>
      <c r="E488" t="s">
        <v>106</v>
      </c>
      <c r="F488" t="s">
        <v>18</v>
      </c>
      <c r="G488">
        <v>1</v>
      </c>
      <c r="H488" s="4">
        <v>1.61</v>
      </c>
      <c r="I488" t="s">
        <v>30</v>
      </c>
      <c r="J488">
        <v>5</v>
      </c>
      <c r="K488">
        <v>0</v>
      </c>
      <c r="L488">
        <v>7</v>
      </c>
      <c r="M488" s="5">
        <v>2.2999999999999998</v>
      </c>
      <c r="N488" s="4">
        <f t="shared" si="7"/>
        <v>1.61</v>
      </c>
      <c r="O488">
        <f>HOUR(TIMEVALUE(RetailTransactions[[#This Row],[Time]]))</f>
        <v>14</v>
      </c>
    </row>
    <row r="489" spans="1:15">
      <c r="A489" t="s">
        <v>687</v>
      </c>
      <c r="B489" s="3">
        <v>46197</v>
      </c>
      <c r="C489" t="s">
        <v>305</v>
      </c>
      <c r="D489" t="s">
        <v>16</v>
      </c>
      <c r="E489" t="s">
        <v>69</v>
      </c>
      <c r="F489" t="s">
        <v>43</v>
      </c>
      <c r="G489">
        <v>1</v>
      </c>
      <c r="H489" s="4">
        <v>1.69</v>
      </c>
      <c r="I489" t="s">
        <v>30</v>
      </c>
      <c r="J489">
        <v>12</v>
      </c>
      <c r="K489">
        <v>2</v>
      </c>
      <c r="L489">
        <v>7</v>
      </c>
      <c r="M489" s="5">
        <v>4</v>
      </c>
      <c r="N489" s="4">
        <f t="shared" si="7"/>
        <v>1.69</v>
      </c>
      <c r="O489">
        <f>HOUR(TIMEVALUE(RetailTransactions[[#This Row],[Time]]))</f>
        <v>13</v>
      </c>
    </row>
    <row r="490" spans="1:15">
      <c r="A490" t="s">
        <v>688</v>
      </c>
      <c r="B490" s="3">
        <v>46219</v>
      </c>
      <c r="C490" t="s">
        <v>93</v>
      </c>
      <c r="D490" t="s">
        <v>37</v>
      </c>
      <c r="E490" t="s">
        <v>17</v>
      </c>
      <c r="F490" t="s">
        <v>18</v>
      </c>
      <c r="G490">
        <v>1</v>
      </c>
      <c r="H490" s="4">
        <v>1.75</v>
      </c>
      <c r="I490" t="s">
        <v>19</v>
      </c>
      <c r="J490">
        <v>15</v>
      </c>
      <c r="K490">
        <v>0</v>
      </c>
      <c r="L490">
        <v>7</v>
      </c>
      <c r="M490" s="5">
        <v>6.1</v>
      </c>
      <c r="N490" s="4">
        <f t="shared" si="7"/>
        <v>1.75</v>
      </c>
      <c r="O490">
        <f>HOUR(TIMEVALUE(RetailTransactions[[#This Row],[Time]]))</f>
        <v>12</v>
      </c>
    </row>
    <row r="491" spans="1:15">
      <c r="A491" t="s">
        <v>689</v>
      </c>
      <c r="B491" s="3">
        <v>46194</v>
      </c>
      <c r="C491" t="s">
        <v>209</v>
      </c>
      <c r="D491" t="s">
        <v>27</v>
      </c>
      <c r="E491" t="s">
        <v>106</v>
      </c>
      <c r="F491" t="s">
        <v>18</v>
      </c>
      <c r="G491">
        <v>2</v>
      </c>
      <c r="H491" s="4">
        <v>1.61</v>
      </c>
      <c r="I491" t="s">
        <v>30</v>
      </c>
      <c r="J491">
        <v>38</v>
      </c>
      <c r="K491">
        <v>0</v>
      </c>
      <c r="L491">
        <v>8</v>
      </c>
      <c r="M491" s="5">
        <v>4.4000000000000004</v>
      </c>
      <c r="N491" s="4">
        <f t="shared" si="7"/>
        <v>3.22</v>
      </c>
      <c r="O491">
        <f>HOUR(TIMEVALUE(RetailTransactions[[#This Row],[Time]]))</f>
        <v>18</v>
      </c>
    </row>
    <row r="492" spans="1:15">
      <c r="A492" t="s">
        <v>690</v>
      </c>
      <c r="B492" s="3">
        <v>46228</v>
      </c>
      <c r="C492" t="s">
        <v>137</v>
      </c>
      <c r="D492" t="s">
        <v>66</v>
      </c>
      <c r="E492" t="s">
        <v>63</v>
      </c>
      <c r="F492" t="s">
        <v>50</v>
      </c>
      <c r="G492">
        <v>1</v>
      </c>
      <c r="H492" s="4">
        <v>3.49</v>
      </c>
      <c r="I492" t="s">
        <v>19</v>
      </c>
      <c r="J492">
        <v>44</v>
      </c>
      <c r="K492">
        <v>1</v>
      </c>
      <c r="L492">
        <v>7</v>
      </c>
      <c r="M492" s="5">
        <v>4.4000000000000004</v>
      </c>
      <c r="N492" s="4">
        <f t="shared" si="7"/>
        <v>3.49</v>
      </c>
      <c r="O492">
        <f>HOUR(TIMEVALUE(RetailTransactions[[#This Row],[Time]]))</f>
        <v>13</v>
      </c>
    </row>
    <row r="493" spans="1:15">
      <c r="A493" t="s">
        <v>691</v>
      </c>
      <c r="B493" s="3">
        <v>46215</v>
      </c>
      <c r="C493" t="s">
        <v>327</v>
      </c>
      <c r="D493" t="s">
        <v>27</v>
      </c>
      <c r="E493" t="s">
        <v>63</v>
      </c>
      <c r="F493" t="s">
        <v>50</v>
      </c>
      <c r="G493">
        <v>1</v>
      </c>
      <c r="H493" s="4">
        <v>3.49</v>
      </c>
      <c r="I493" t="s">
        <v>19</v>
      </c>
      <c r="J493">
        <v>47</v>
      </c>
      <c r="K493">
        <v>0</v>
      </c>
      <c r="L493">
        <v>6</v>
      </c>
      <c r="M493" s="5">
        <v>4.8</v>
      </c>
      <c r="N493" s="4">
        <f t="shared" si="7"/>
        <v>3.49</v>
      </c>
      <c r="O493">
        <f>HOUR(TIMEVALUE(RetailTransactions[[#This Row],[Time]]))</f>
        <v>19</v>
      </c>
    </row>
    <row r="494" spans="1:15">
      <c r="A494" t="s">
        <v>692</v>
      </c>
      <c r="B494" s="3">
        <v>46232</v>
      </c>
      <c r="C494" t="s">
        <v>637</v>
      </c>
      <c r="D494" t="s">
        <v>16</v>
      </c>
      <c r="E494" t="s">
        <v>46</v>
      </c>
      <c r="F494" t="s">
        <v>24</v>
      </c>
      <c r="G494">
        <v>2</v>
      </c>
      <c r="H494" s="4">
        <v>1.52</v>
      </c>
      <c r="I494" t="s">
        <v>30</v>
      </c>
      <c r="J494">
        <v>44</v>
      </c>
      <c r="K494">
        <v>0</v>
      </c>
      <c r="L494">
        <v>4</v>
      </c>
      <c r="M494" s="5">
        <v>2.2999999999999998</v>
      </c>
      <c r="N494" s="4">
        <f t="shared" si="7"/>
        <v>3.04</v>
      </c>
      <c r="O494">
        <f>HOUR(TIMEVALUE(RetailTransactions[[#This Row],[Time]]))</f>
        <v>8</v>
      </c>
    </row>
    <row r="495" spans="1:15">
      <c r="A495" t="s">
        <v>693</v>
      </c>
      <c r="B495" s="3">
        <v>46253</v>
      </c>
      <c r="C495" t="s">
        <v>230</v>
      </c>
      <c r="D495" t="s">
        <v>16</v>
      </c>
      <c r="E495" t="s">
        <v>106</v>
      </c>
      <c r="F495" t="s">
        <v>18</v>
      </c>
      <c r="G495">
        <v>3</v>
      </c>
      <c r="H495" s="4">
        <v>1.61</v>
      </c>
      <c r="I495" t="s">
        <v>30</v>
      </c>
      <c r="J495">
        <v>27</v>
      </c>
      <c r="K495">
        <v>0</v>
      </c>
      <c r="L495">
        <v>9</v>
      </c>
      <c r="M495" s="5">
        <v>5.5</v>
      </c>
      <c r="N495" s="4">
        <f t="shared" si="7"/>
        <v>4.83</v>
      </c>
      <c r="O495">
        <f>HOUR(TIMEVALUE(RetailTransactions[[#This Row],[Time]]))</f>
        <v>13</v>
      </c>
    </row>
    <row r="496" spans="1:15">
      <c r="A496" t="s">
        <v>694</v>
      </c>
      <c r="B496" s="3">
        <v>46222</v>
      </c>
      <c r="C496" t="s">
        <v>244</v>
      </c>
      <c r="D496" t="s">
        <v>27</v>
      </c>
      <c r="E496" t="s">
        <v>69</v>
      </c>
      <c r="F496" t="s">
        <v>43</v>
      </c>
      <c r="G496">
        <v>3</v>
      </c>
      <c r="H496" s="4">
        <v>1.69</v>
      </c>
      <c r="I496" t="s">
        <v>30</v>
      </c>
      <c r="J496">
        <v>14</v>
      </c>
      <c r="K496">
        <v>0</v>
      </c>
      <c r="L496">
        <v>6</v>
      </c>
      <c r="M496" s="5">
        <v>1.3</v>
      </c>
      <c r="N496" s="4">
        <f t="shared" si="7"/>
        <v>5.07</v>
      </c>
      <c r="O496">
        <f>HOUR(TIMEVALUE(RetailTransactions[[#This Row],[Time]]))</f>
        <v>14</v>
      </c>
    </row>
    <row r="497" spans="1:15">
      <c r="A497" t="s">
        <v>695</v>
      </c>
      <c r="B497" s="3">
        <v>46175</v>
      </c>
      <c r="C497" t="s">
        <v>178</v>
      </c>
      <c r="D497" t="s">
        <v>22</v>
      </c>
      <c r="E497" t="s">
        <v>23</v>
      </c>
      <c r="F497" t="s">
        <v>24</v>
      </c>
      <c r="G497">
        <v>1</v>
      </c>
      <c r="H497" s="4">
        <v>0.81</v>
      </c>
      <c r="I497" t="s">
        <v>30</v>
      </c>
      <c r="J497">
        <v>29</v>
      </c>
      <c r="K497">
        <v>0</v>
      </c>
      <c r="L497">
        <v>4</v>
      </c>
      <c r="M497" s="5">
        <v>4</v>
      </c>
      <c r="N497" s="4">
        <f t="shared" si="7"/>
        <v>0.81</v>
      </c>
      <c r="O497">
        <f>HOUR(TIMEVALUE(RetailTransactions[[#This Row],[Time]]))</f>
        <v>15</v>
      </c>
    </row>
    <row r="498" spans="1:15">
      <c r="A498" t="s">
        <v>696</v>
      </c>
      <c r="B498" s="3">
        <v>46235</v>
      </c>
      <c r="C498" t="s">
        <v>347</v>
      </c>
      <c r="D498" t="s">
        <v>66</v>
      </c>
      <c r="E498" t="s">
        <v>17</v>
      </c>
      <c r="F498" t="s">
        <v>18</v>
      </c>
      <c r="G498">
        <v>2</v>
      </c>
      <c r="H498" s="4">
        <v>1.49</v>
      </c>
      <c r="I498" t="s">
        <v>30</v>
      </c>
      <c r="J498">
        <v>17</v>
      </c>
      <c r="K498">
        <v>0</v>
      </c>
      <c r="L498">
        <v>8</v>
      </c>
      <c r="M498" s="5">
        <v>6</v>
      </c>
      <c r="N498" s="4">
        <f t="shared" si="7"/>
        <v>2.98</v>
      </c>
      <c r="O498">
        <f>HOUR(TIMEVALUE(RetailTransactions[[#This Row],[Time]]))</f>
        <v>12</v>
      </c>
    </row>
    <row r="499" spans="1:15">
      <c r="A499" t="s">
        <v>697</v>
      </c>
      <c r="B499" s="3">
        <v>46232</v>
      </c>
      <c r="C499" t="s">
        <v>698</v>
      </c>
      <c r="D499" t="s">
        <v>16</v>
      </c>
      <c r="E499" t="s">
        <v>69</v>
      </c>
      <c r="F499" t="s">
        <v>43</v>
      </c>
      <c r="G499">
        <v>1</v>
      </c>
      <c r="H499" s="4">
        <v>1.69</v>
      </c>
      <c r="I499" t="s">
        <v>30</v>
      </c>
      <c r="J499">
        <v>28</v>
      </c>
      <c r="K499">
        <v>1</v>
      </c>
      <c r="L499">
        <v>7</v>
      </c>
      <c r="M499" s="5">
        <v>2.7</v>
      </c>
      <c r="N499" s="4">
        <f t="shared" si="7"/>
        <v>1.69</v>
      </c>
      <c r="O499">
        <f>HOUR(TIMEVALUE(RetailTransactions[[#This Row],[Time]]))</f>
        <v>10</v>
      </c>
    </row>
    <row r="500" spans="1:15">
      <c r="A500" t="s">
        <v>699</v>
      </c>
      <c r="B500" s="3">
        <v>46256</v>
      </c>
      <c r="C500" t="s">
        <v>362</v>
      </c>
      <c r="D500" t="s">
        <v>66</v>
      </c>
      <c r="E500" t="s">
        <v>57</v>
      </c>
      <c r="F500" t="s">
        <v>43</v>
      </c>
      <c r="G500">
        <v>2</v>
      </c>
      <c r="H500" s="4">
        <v>1.69</v>
      </c>
      <c r="I500" t="s">
        <v>19</v>
      </c>
      <c r="J500">
        <v>33</v>
      </c>
      <c r="K500">
        <v>2</v>
      </c>
      <c r="L500">
        <v>7</v>
      </c>
      <c r="M500" s="5">
        <v>4.8</v>
      </c>
      <c r="N500" s="4">
        <f t="shared" si="7"/>
        <v>3.38</v>
      </c>
      <c r="O500">
        <f>HOUR(TIMEVALUE(RetailTransactions[[#This Row],[Time]]))</f>
        <v>17</v>
      </c>
    </row>
    <row r="501" spans="1:15">
      <c r="A501" t="s">
        <v>700</v>
      </c>
      <c r="B501" s="3">
        <v>46235</v>
      </c>
      <c r="C501" t="s">
        <v>91</v>
      </c>
      <c r="D501" t="s">
        <v>66</v>
      </c>
      <c r="E501" t="s">
        <v>85</v>
      </c>
      <c r="F501" t="s">
        <v>18</v>
      </c>
      <c r="G501">
        <v>1</v>
      </c>
      <c r="H501" s="4">
        <v>2.12</v>
      </c>
      <c r="I501" t="s">
        <v>30</v>
      </c>
      <c r="J501">
        <v>46</v>
      </c>
      <c r="K501">
        <v>0</v>
      </c>
      <c r="L501">
        <v>6</v>
      </c>
      <c r="M501" s="5">
        <v>5</v>
      </c>
      <c r="N501" s="4">
        <f t="shared" si="7"/>
        <v>2.12</v>
      </c>
      <c r="O501">
        <f>HOUR(TIMEVALUE(RetailTransactions[[#This Row],[Time]]))</f>
        <v>12</v>
      </c>
    </row>
    <row r="502" spans="1:15">
      <c r="A502" t="s">
        <v>701</v>
      </c>
      <c r="B502" s="3">
        <v>46259</v>
      </c>
      <c r="C502" t="s">
        <v>156</v>
      </c>
      <c r="D502" t="s">
        <v>22</v>
      </c>
      <c r="E502" t="s">
        <v>125</v>
      </c>
      <c r="F502" t="s">
        <v>39</v>
      </c>
      <c r="G502">
        <v>1</v>
      </c>
      <c r="H502" s="4">
        <v>1.85</v>
      </c>
      <c r="I502" t="s">
        <v>19</v>
      </c>
      <c r="J502">
        <v>43</v>
      </c>
      <c r="K502">
        <v>0</v>
      </c>
      <c r="L502">
        <v>7</v>
      </c>
      <c r="M502" s="5">
        <v>1.6</v>
      </c>
      <c r="N502" s="4">
        <f t="shared" si="7"/>
        <v>1.85</v>
      </c>
      <c r="O502">
        <f>HOUR(TIMEVALUE(RetailTransactions[[#This Row],[Time]]))</f>
        <v>16</v>
      </c>
    </row>
    <row r="503" spans="1:15">
      <c r="A503" t="s">
        <v>702</v>
      </c>
      <c r="B503" s="3">
        <v>46247</v>
      </c>
      <c r="C503" t="s">
        <v>247</v>
      </c>
      <c r="D503" t="s">
        <v>37</v>
      </c>
      <c r="E503" t="s">
        <v>69</v>
      </c>
      <c r="F503" t="s">
        <v>43</v>
      </c>
      <c r="G503">
        <v>1</v>
      </c>
      <c r="H503" s="4">
        <v>1.69</v>
      </c>
      <c r="I503" t="s">
        <v>30</v>
      </c>
      <c r="J503">
        <v>13</v>
      </c>
      <c r="K503">
        <v>1</v>
      </c>
      <c r="L503">
        <v>9</v>
      </c>
      <c r="M503" s="5">
        <v>4.4000000000000004</v>
      </c>
      <c r="N503" s="4">
        <f t="shared" si="7"/>
        <v>1.69</v>
      </c>
      <c r="O503">
        <f>HOUR(TIMEVALUE(RetailTransactions[[#This Row],[Time]]))</f>
        <v>17</v>
      </c>
    </row>
    <row r="504" spans="1:15">
      <c r="A504" t="s">
        <v>703</v>
      </c>
      <c r="B504" s="3">
        <v>46244</v>
      </c>
      <c r="C504" t="s">
        <v>156</v>
      </c>
      <c r="D504" t="s">
        <v>33</v>
      </c>
      <c r="E504" t="s">
        <v>125</v>
      </c>
      <c r="F504" t="s">
        <v>39</v>
      </c>
      <c r="G504">
        <v>1</v>
      </c>
      <c r="H504" s="4">
        <v>1.57</v>
      </c>
      <c r="I504" t="s">
        <v>30</v>
      </c>
      <c r="J504">
        <v>23</v>
      </c>
      <c r="K504">
        <v>0</v>
      </c>
      <c r="L504">
        <v>6</v>
      </c>
      <c r="M504" s="5">
        <v>1.5</v>
      </c>
      <c r="N504" s="4">
        <f t="shared" si="7"/>
        <v>1.57</v>
      </c>
      <c r="O504">
        <f>HOUR(TIMEVALUE(RetailTransactions[[#This Row],[Time]]))</f>
        <v>16</v>
      </c>
    </row>
    <row r="505" spans="1:15">
      <c r="A505" t="s">
        <v>704</v>
      </c>
      <c r="B505" s="3">
        <v>46239</v>
      </c>
      <c r="C505" t="s">
        <v>211</v>
      </c>
      <c r="D505" t="s">
        <v>16</v>
      </c>
      <c r="E505" t="s">
        <v>34</v>
      </c>
      <c r="F505" t="s">
        <v>24</v>
      </c>
      <c r="G505">
        <v>1</v>
      </c>
      <c r="H505" s="4">
        <v>1.49</v>
      </c>
      <c r="I505" t="s">
        <v>19</v>
      </c>
      <c r="J505">
        <v>33</v>
      </c>
      <c r="K505">
        <v>1</v>
      </c>
      <c r="L505">
        <v>5</v>
      </c>
      <c r="M505" s="5">
        <v>4.7</v>
      </c>
      <c r="N505" s="4">
        <f t="shared" si="7"/>
        <v>1.49</v>
      </c>
      <c r="O505">
        <f>HOUR(TIMEVALUE(RetailTransactions[[#This Row],[Time]]))</f>
        <v>14</v>
      </c>
    </row>
    <row r="506" spans="1:15">
      <c r="A506" t="s">
        <v>705</v>
      </c>
      <c r="B506" s="3">
        <v>46215</v>
      </c>
      <c r="C506" t="s">
        <v>93</v>
      </c>
      <c r="D506" t="s">
        <v>27</v>
      </c>
      <c r="E506" t="s">
        <v>49</v>
      </c>
      <c r="F506" t="s">
        <v>50</v>
      </c>
      <c r="G506">
        <v>1</v>
      </c>
      <c r="H506" s="4">
        <v>3.95</v>
      </c>
      <c r="I506" t="s">
        <v>19</v>
      </c>
      <c r="J506">
        <v>31</v>
      </c>
      <c r="K506">
        <v>0</v>
      </c>
      <c r="L506">
        <v>7</v>
      </c>
      <c r="M506" s="5">
        <v>4.5999999999999996</v>
      </c>
      <c r="N506" s="4">
        <f t="shared" si="7"/>
        <v>3.95</v>
      </c>
      <c r="O506">
        <f>HOUR(TIMEVALUE(RetailTransactions[[#This Row],[Time]]))</f>
        <v>12</v>
      </c>
    </row>
    <row r="507" spans="1:15">
      <c r="A507" t="s">
        <v>706</v>
      </c>
      <c r="B507" s="3">
        <v>46238</v>
      </c>
      <c r="C507" t="s">
        <v>89</v>
      </c>
      <c r="D507" t="s">
        <v>22</v>
      </c>
      <c r="E507" t="s">
        <v>106</v>
      </c>
      <c r="F507" t="s">
        <v>18</v>
      </c>
      <c r="G507">
        <v>1</v>
      </c>
      <c r="H507" s="4">
        <v>1.89</v>
      </c>
      <c r="I507" t="s">
        <v>19</v>
      </c>
      <c r="J507">
        <v>7</v>
      </c>
      <c r="K507">
        <v>0</v>
      </c>
      <c r="L507">
        <v>7</v>
      </c>
      <c r="M507" s="5">
        <v>2.4</v>
      </c>
      <c r="N507" s="4">
        <f t="shared" si="7"/>
        <v>1.89</v>
      </c>
      <c r="O507">
        <f>HOUR(TIMEVALUE(RetailTransactions[[#This Row],[Time]]))</f>
        <v>14</v>
      </c>
    </row>
    <row r="508" spans="1:15">
      <c r="A508" t="s">
        <v>707</v>
      </c>
      <c r="B508" s="3">
        <v>46258</v>
      </c>
      <c r="C508" t="s">
        <v>335</v>
      </c>
      <c r="D508" t="s">
        <v>33</v>
      </c>
      <c r="E508" t="s">
        <v>49</v>
      </c>
      <c r="F508" t="s">
        <v>50</v>
      </c>
      <c r="G508">
        <v>1</v>
      </c>
      <c r="H508" s="4">
        <v>3.36</v>
      </c>
      <c r="I508" t="s">
        <v>30</v>
      </c>
      <c r="J508">
        <v>58</v>
      </c>
      <c r="K508">
        <v>0</v>
      </c>
      <c r="L508">
        <v>8</v>
      </c>
      <c r="M508" s="5">
        <v>4.7</v>
      </c>
      <c r="N508" s="4">
        <f t="shared" si="7"/>
        <v>3.36</v>
      </c>
      <c r="O508">
        <f>HOUR(TIMEVALUE(RetailTransactions[[#This Row],[Time]]))</f>
        <v>18</v>
      </c>
    </row>
    <row r="509" spans="1:15">
      <c r="A509" t="s">
        <v>708</v>
      </c>
      <c r="B509" s="3">
        <v>46242</v>
      </c>
      <c r="C509" t="s">
        <v>170</v>
      </c>
      <c r="D509" t="s">
        <v>66</v>
      </c>
      <c r="E509" t="s">
        <v>49</v>
      </c>
      <c r="F509" t="s">
        <v>50</v>
      </c>
      <c r="G509">
        <v>1</v>
      </c>
      <c r="H509" s="4">
        <v>3.95</v>
      </c>
      <c r="I509" t="s">
        <v>19</v>
      </c>
      <c r="J509">
        <v>5</v>
      </c>
      <c r="K509">
        <v>0</v>
      </c>
      <c r="L509">
        <v>8</v>
      </c>
      <c r="M509" s="5">
        <v>4.0999999999999996</v>
      </c>
      <c r="N509" s="4">
        <f t="shared" si="7"/>
        <v>3.95</v>
      </c>
      <c r="O509">
        <f>HOUR(TIMEVALUE(RetailTransactions[[#This Row],[Time]]))</f>
        <v>13</v>
      </c>
    </row>
    <row r="510" spans="1:15">
      <c r="A510" t="s">
        <v>709</v>
      </c>
      <c r="B510" s="3">
        <v>46249</v>
      </c>
      <c r="C510" t="s">
        <v>204</v>
      </c>
      <c r="D510" t="s">
        <v>66</v>
      </c>
      <c r="E510" t="s">
        <v>23</v>
      </c>
      <c r="F510" t="s">
        <v>24</v>
      </c>
      <c r="G510">
        <v>2</v>
      </c>
      <c r="H510" s="4">
        <v>0.95</v>
      </c>
      <c r="I510" t="s">
        <v>19</v>
      </c>
      <c r="J510">
        <v>52</v>
      </c>
      <c r="K510">
        <v>2</v>
      </c>
      <c r="L510">
        <v>4</v>
      </c>
      <c r="M510" s="5">
        <v>2.5</v>
      </c>
      <c r="N510" s="4">
        <f t="shared" si="7"/>
        <v>1.9</v>
      </c>
      <c r="O510">
        <f>HOUR(TIMEVALUE(RetailTransactions[[#This Row],[Time]]))</f>
        <v>14</v>
      </c>
    </row>
    <row r="511" spans="1:15">
      <c r="A511" t="s">
        <v>710</v>
      </c>
      <c r="B511" s="3">
        <v>46240</v>
      </c>
      <c r="C511" t="s">
        <v>415</v>
      </c>
      <c r="D511" t="s">
        <v>37</v>
      </c>
      <c r="E511" t="s">
        <v>63</v>
      </c>
      <c r="F511" t="s">
        <v>50</v>
      </c>
      <c r="G511">
        <v>1</v>
      </c>
      <c r="H511" s="4">
        <v>3.49</v>
      </c>
      <c r="I511" t="s">
        <v>19</v>
      </c>
      <c r="J511">
        <v>7</v>
      </c>
      <c r="K511">
        <v>0</v>
      </c>
      <c r="L511">
        <v>4</v>
      </c>
      <c r="M511" s="5">
        <v>4.0999999999999996</v>
      </c>
      <c r="N511" s="4">
        <f t="shared" si="7"/>
        <v>3.49</v>
      </c>
      <c r="O511">
        <f>HOUR(TIMEVALUE(RetailTransactions[[#This Row],[Time]]))</f>
        <v>14</v>
      </c>
    </row>
    <row r="512" spans="1:15">
      <c r="A512" t="s">
        <v>711</v>
      </c>
      <c r="B512" s="3">
        <v>46254</v>
      </c>
      <c r="C512" t="s">
        <v>137</v>
      </c>
      <c r="D512" t="s">
        <v>37</v>
      </c>
      <c r="E512" t="s">
        <v>17</v>
      </c>
      <c r="F512" t="s">
        <v>18</v>
      </c>
      <c r="G512">
        <v>2</v>
      </c>
      <c r="H512" s="4">
        <v>1.75</v>
      </c>
      <c r="I512" t="s">
        <v>19</v>
      </c>
      <c r="J512">
        <v>12</v>
      </c>
      <c r="K512">
        <v>1</v>
      </c>
      <c r="L512">
        <v>7</v>
      </c>
      <c r="M512" s="5">
        <v>5.3</v>
      </c>
      <c r="N512" s="4">
        <f t="shared" si="7"/>
        <v>3.5</v>
      </c>
      <c r="O512">
        <f>HOUR(TIMEVALUE(RetailTransactions[[#This Row],[Time]]))</f>
        <v>13</v>
      </c>
    </row>
    <row r="513" spans="1:15">
      <c r="A513" t="s">
        <v>712</v>
      </c>
      <c r="B513" s="3">
        <v>46211</v>
      </c>
      <c r="C513" t="s">
        <v>409</v>
      </c>
      <c r="D513" t="s">
        <v>16</v>
      </c>
      <c r="E513" t="s">
        <v>17</v>
      </c>
      <c r="F513" t="s">
        <v>18</v>
      </c>
      <c r="G513">
        <v>1</v>
      </c>
      <c r="H513" s="4">
        <v>1.75</v>
      </c>
      <c r="I513" t="s">
        <v>19</v>
      </c>
      <c r="J513">
        <v>22</v>
      </c>
      <c r="K513">
        <v>0</v>
      </c>
      <c r="L513">
        <v>5</v>
      </c>
      <c r="M513" s="5">
        <v>3.7</v>
      </c>
      <c r="N513" s="4">
        <f t="shared" si="7"/>
        <v>1.75</v>
      </c>
      <c r="O513">
        <f>HOUR(TIMEVALUE(RetailTransactions[[#This Row],[Time]]))</f>
        <v>21</v>
      </c>
    </row>
    <row r="514" spans="1:15">
      <c r="A514" t="s">
        <v>713</v>
      </c>
      <c r="B514" s="3">
        <v>46217</v>
      </c>
      <c r="C514" t="s">
        <v>275</v>
      </c>
      <c r="D514" t="s">
        <v>22</v>
      </c>
      <c r="E514" t="s">
        <v>125</v>
      </c>
      <c r="F514" t="s">
        <v>39</v>
      </c>
      <c r="G514">
        <v>3</v>
      </c>
      <c r="H514" s="4">
        <v>1.85</v>
      </c>
      <c r="I514" t="s">
        <v>19</v>
      </c>
      <c r="J514">
        <v>33</v>
      </c>
      <c r="K514">
        <v>0</v>
      </c>
      <c r="L514">
        <v>6</v>
      </c>
      <c r="M514" s="5">
        <v>2.2000000000000002</v>
      </c>
      <c r="N514" s="4">
        <f t="shared" ref="N514:N577" si="8">G514*H514</f>
        <v>5.5500000000000007</v>
      </c>
      <c r="O514">
        <f>HOUR(TIMEVALUE(RetailTransactions[[#This Row],[Time]]))</f>
        <v>14</v>
      </c>
    </row>
    <row r="515" spans="1:15">
      <c r="A515" t="s">
        <v>714</v>
      </c>
      <c r="B515" s="3">
        <v>46212</v>
      </c>
      <c r="C515" t="s">
        <v>347</v>
      </c>
      <c r="D515" t="s">
        <v>37</v>
      </c>
      <c r="E515" t="s">
        <v>42</v>
      </c>
      <c r="F515" t="s">
        <v>43</v>
      </c>
      <c r="G515">
        <v>1</v>
      </c>
      <c r="H515" s="4">
        <v>1.18</v>
      </c>
      <c r="I515" t="s">
        <v>30</v>
      </c>
      <c r="J515">
        <v>14</v>
      </c>
      <c r="K515">
        <v>0</v>
      </c>
      <c r="L515">
        <v>9</v>
      </c>
      <c r="M515" s="5">
        <v>6.1</v>
      </c>
      <c r="N515" s="4">
        <f t="shared" si="8"/>
        <v>1.18</v>
      </c>
      <c r="O515">
        <f>HOUR(TIMEVALUE(RetailTransactions[[#This Row],[Time]]))</f>
        <v>12</v>
      </c>
    </row>
    <row r="516" spans="1:15">
      <c r="A516" t="s">
        <v>715</v>
      </c>
      <c r="B516" s="3">
        <v>46227</v>
      </c>
      <c r="C516" t="s">
        <v>130</v>
      </c>
      <c r="D516" t="s">
        <v>72</v>
      </c>
      <c r="E516" t="s">
        <v>120</v>
      </c>
      <c r="F516" t="s">
        <v>50</v>
      </c>
      <c r="G516">
        <v>1</v>
      </c>
      <c r="H516" s="4">
        <v>2.25</v>
      </c>
      <c r="I516" t="s">
        <v>19</v>
      </c>
      <c r="J516">
        <v>11</v>
      </c>
      <c r="K516">
        <v>0</v>
      </c>
      <c r="L516">
        <v>6</v>
      </c>
      <c r="M516" s="5">
        <v>5.5</v>
      </c>
      <c r="N516" s="4">
        <f t="shared" si="8"/>
        <v>2.25</v>
      </c>
      <c r="O516">
        <f>HOUR(TIMEVALUE(RetailTransactions[[#This Row],[Time]]))</f>
        <v>19</v>
      </c>
    </row>
    <row r="517" spans="1:15">
      <c r="A517" t="s">
        <v>716</v>
      </c>
      <c r="B517" s="3">
        <v>46263</v>
      </c>
      <c r="C517" t="s">
        <v>95</v>
      </c>
      <c r="D517" t="s">
        <v>66</v>
      </c>
      <c r="E517" t="s">
        <v>46</v>
      </c>
      <c r="F517" t="s">
        <v>24</v>
      </c>
      <c r="G517">
        <v>4</v>
      </c>
      <c r="H517" s="4">
        <v>1.79</v>
      </c>
      <c r="I517" t="s">
        <v>19</v>
      </c>
      <c r="J517">
        <v>44</v>
      </c>
      <c r="K517">
        <v>0</v>
      </c>
      <c r="L517">
        <v>7</v>
      </c>
      <c r="M517" s="5">
        <v>1.1000000000000001</v>
      </c>
      <c r="N517" s="4">
        <f t="shared" si="8"/>
        <v>7.16</v>
      </c>
      <c r="O517">
        <f>HOUR(TIMEVALUE(RetailTransactions[[#This Row],[Time]]))</f>
        <v>16</v>
      </c>
    </row>
    <row r="518" spans="1:15">
      <c r="A518" t="s">
        <v>717</v>
      </c>
      <c r="B518" s="3">
        <v>46244</v>
      </c>
      <c r="C518" t="s">
        <v>105</v>
      </c>
      <c r="D518" t="s">
        <v>33</v>
      </c>
      <c r="E518" t="s">
        <v>63</v>
      </c>
      <c r="F518" t="s">
        <v>50</v>
      </c>
      <c r="G518">
        <v>1</v>
      </c>
      <c r="H518" s="4">
        <v>3.49</v>
      </c>
      <c r="I518" t="s">
        <v>19</v>
      </c>
      <c r="J518">
        <v>50</v>
      </c>
      <c r="K518">
        <v>0</v>
      </c>
      <c r="L518">
        <v>7</v>
      </c>
      <c r="M518" s="5">
        <v>4</v>
      </c>
      <c r="N518" s="4">
        <f t="shared" si="8"/>
        <v>3.49</v>
      </c>
      <c r="O518">
        <f>HOUR(TIMEVALUE(RetailTransactions[[#This Row],[Time]]))</f>
        <v>12</v>
      </c>
    </row>
    <row r="519" spans="1:15">
      <c r="A519" t="s">
        <v>718</v>
      </c>
      <c r="B519" s="3">
        <v>46245</v>
      </c>
      <c r="C519" t="s">
        <v>297</v>
      </c>
      <c r="D519" t="s">
        <v>22</v>
      </c>
      <c r="E519" t="s">
        <v>69</v>
      </c>
      <c r="F519" t="s">
        <v>43</v>
      </c>
      <c r="G519">
        <v>1</v>
      </c>
      <c r="H519" s="4">
        <v>1.69</v>
      </c>
      <c r="I519" t="s">
        <v>30</v>
      </c>
      <c r="J519">
        <v>49</v>
      </c>
      <c r="K519">
        <v>1</v>
      </c>
      <c r="L519">
        <v>6</v>
      </c>
      <c r="M519" s="5">
        <v>5.3</v>
      </c>
      <c r="N519" s="4">
        <f t="shared" si="8"/>
        <v>1.69</v>
      </c>
      <c r="O519">
        <f>HOUR(TIMEVALUE(RetailTransactions[[#This Row],[Time]]))</f>
        <v>19</v>
      </c>
    </row>
    <row r="520" spans="1:15">
      <c r="A520" t="s">
        <v>719</v>
      </c>
      <c r="B520" s="3">
        <v>46254</v>
      </c>
      <c r="C520" t="s">
        <v>209</v>
      </c>
      <c r="D520" t="s">
        <v>37</v>
      </c>
      <c r="E520" t="s">
        <v>38</v>
      </c>
      <c r="F520" t="s">
        <v>39</v>
      </c>
      <c r="G520">
        <v>2</v>
      </c>
      <c r="H520" s="4">
        <v>2.79</v>
      </c>
      <c r="I520" t="s">
        <v>19</v>
      </c>
      <c r="J520">
        <v>55</v>
      </c>
      <c r="K520">
        <v>0</v>
      </c>
      <c r="L520">
        <v>9</v>
      </c>
      <c r="M520" s="5">
        <v>4.0999999999999996</v>
      </c>
      <c r="N520" s="4">
        <f t="shared" si="8"/>
        <v>5.58</v>
      </c>
      <c r="O520">
        <f>HOUR(TIMEVALUE(RetailTransactions[[#This Row],[Time]]))</f>
        <v>18</v>
      </c>
    </row>
    <row r="521" spans="1:15">
      <c r="A521" t="s">
        <v>720</v>
      </c>
      <c r="B521" s="3">
        <v>46220</v>
      </c>
      <c r="C521" t="s">
        <v>105</v>
      </c>
      <c r="D521" t="s">
        <v>72</v>
      </c>
      <c r="E521" t="s">
        <v>63</v>
      </c>
      <c r="F521" t="s">
        <v>50</v>
      </c>
      <c r="G521">
        <v>2</v>
      </c>
      <c r="H521" s="4">
        <v>3.49</v>
      </c>
      <c r="I521" t="s">
        <v>19</v>
      </c>
      <c r="J521">
        <v>38</v>
      </c>
      <c r="K521">
        <v>0</v>
      </c>
      <c r="L521">
        <v>7</v>
      </c>
      <c r="M521" s="5">
        <v>4.9000000000000004</v>
      </c>
      <c r="N521" s="4">
        <f t="shared" si="8"/>
        <v>6.98</v>
      </c>
      <c r="O521">
        <f>HOUR(TIMEVALUE(RetailTransactions[[#This Row],[Time]]))</f>
        <v>12</v>
      </c>
    </row>
    <row r="522" spans="1:15">
      <c r="A522" t="s">
        <v>721</v>
      </c>
      <c r="B522" s="3">
        <v>46220</v>
      </c>
      <c r="C522" t="s">
        <v>300</v>
      </c>
      <c r="D522" t="s">
        <v>72</v>
      </c>
      <c r="E522" t="s">
        <v>57</v>
      </c>
      <c r="F522" t="s">
        <v>43</v>
      </c>
      <c r="G522">
        <v>1</v>
      </c>
      <c r="H522" s="4">
        <v>1.44</v>
      </c>
      <c r="I522" t="s">
        <v>30</v>
      </c>
      <c r="J522">
        <v>59</v>
      </c>
      <c r="K522">
        <v>2</v>
      </c>
      <c r="L522">
        <v>8</v>
      </c>
      <c r="M522" s="5">
        <v>5.0999999999999996</v>
      </c>
      <c r="N522" s="4">
        <f t="shared" si="8"/>
        <v>1.44</v>
      </c>
      <c r="O522">
        <f>HOUR(TIMEVALUE(RetailTransactions[[#This Row],[Time]]))</f>
        <v>18</v>
      </c>
    </row>
    <row r="523" spans="1:15">
      <c r="A523" t="s">
        <v>722</v>
      </c>
      <c r="B523" s="3">
        <v>46180</v>
      </c>
      <c r="C523" t="s">
        <v>166</v>
      </c>
      <c r="D523" t="s">
        <v>27</v>
      </c>
      <c r="E523" t="s">
        <v>125</v>
      </c>
      <c r="F523" t="s">
        <v>39</v>
      </c>
      <c r="G523">
        <v>2</v>
      </c>
      <c r="H523" s="4">
        <v>1.85</v>
      </c>
      <c r="I523" t="s">
        <v>19</v>
      </c>
      <c r="J523">
        <v>25</v>
      </c>
      <c r="K523">
        <v>0</v>
      </c>
      <c r="L523">
        <v>4</v>
      </c>
      <c r="M523" s="5">
        <v>3.4</v>
      </c>
      <c r="N523" s="4">
        <f t="shared" si="8"/>
        <v>3.7</v>
      </c>
      <c r="O523">
        <f>HOUR(TIMEVALUE(RetailTransactions[[#This Row],[Time]]))</f>
        <v>7</v>
      </c>
    </row>
    <row r="524" spans="1:15">
      <c r="A524" t="s">
        <v>723</v>
      </c>
      <c r="B524" s="3">
        <v>46204</v>
      </c>
      <c r="C524" t="s">
        <v>460</v>
      </c>
      <c r="D524" t="s">
        <v>16</v>
      </c>
      <c r="E524" t="s">
        <v>78</v>
      </c>
      <c r="F524" t="s">
        <v>39</v>
      </c>
      <c r="G524">
        <v>1</v>
      </c>
      <c r="H524" s="4">
        <v>1.55</v>
      </c>
      <c r="I524" t="s">
        <v>19</v>
      </c>
      <c r="J524">
        <v>37</v>
      </c>
      <c r="K524">
        <v>0</v>
      </c>
      <c r="L524">
        <v>9</v>
      </c>
      <c r="M524" s="5">
        <v>4.2</v>
      </c>
      <c r="N524" s="4">
        <f t="shared" si="8"/>
        <v>1.55</v>
      </c>
      <c r="O524">
        <f>HOUR(TIMEVALUE(RetailTransactions[[#This Row],[Time]]))</f>
        <v>18</v>
      </c>
    </row>
    <row r="525" spans="1:15">
      <c r="A525" t="s">
        <v>724</v>
      </c>
      <c r="B525" s="3">
        <v>46201</v>
      </c>
      <c r="C525" t="s">
        <v>415</v>
      </c>
      <c r="D525" t="s">
        <v>27</v>
      </c>
      <c r="E525" t="s">
        <v>106</v>
      </c>
      <c r="F525" t="s">
        <v>18</v>
      </c>
      <c r="G525">
        <v>1</v>
      </c>
      <c r="H525" s="4">
        <v>1.89</v>
      </c>
      <c r="I525" t="s">
        <v>19</v>
      </c>
      <c r="J525">
        <v>20</v>
      </c>
      <c r="K525">
        <v>0</v>
      </c>
      <c r="L525">
        <v>5</v>
      </c>
      <c r="M525" s="5">
        <v>3.8</v>
      </c>
      <c r="N525" s="4">
        <f t="shared" si="8"/>
        <v>1.89</v>
      </c>
      <c r="O525">
        <f>HOUR(TIMEVALUE(RetailTransactions[[#This Row],[Time]]))</f>
        <v>14</v>
      </c>
    </row>
    <row r="526" spans="1:15">
      <c r="A526" t="s">
        <v>725</v>
      </c>
      <c r="B526" s="3">
        <v>46183</v>
      </c>
      <c r="C526" t="s">
        <v>297</v>
      </c>
      <c r="D526" t="s">
        <v>16</v>
      </c>
      <c r="E526" t="s">
        <v>106</v>
      </c>
      <c r="F526" t="s">
        <v>18</v>
      </c>
      <c r="G526">
        <v>1</v>
      </c>
      <c r="H526" s="4">
        <v>1.89</v>
      </c>
      <c r="I526" t="s">
        <v>19</v>
      </c>
      <c r="J526">
        <v>54</v>
      </c>
      <c r="K526">
        <v>0</v>
      </c>
      <c r="L526">
        <v>8</v>
      </c>
      <c r="M526" s="5">
        <v>4.3</v>
      </c>
      <c r="N526" s="4">
        <f t="shared" si="8"/>
        <v>1.89</v>
      </c>
      <c r="O526">
        <f>HOUR(TIMEVALUE(RetailTransactions[[#This Row],[Time]]))</f>
        <v>19</v>
      </c>
    </row>
    <row r="527" spans="1:15">
      <c r="A527" t="s">
        <v>726</v>
      </c>
      <c r="B527" s="3">
        <v>46256</v>
      </c>
      <c r="C527" t="s">
        <v>21</v>
      </c>
      <c r="D527" t="s">
        <v>66</v>
      </c>
      <c r="E527" t="s">
        <v>17</v>
      </c>
      <c r="F527" t="s">
        <v>18</v>
      </c>
      <c r="G527">
        <v>1</v>
      </c>
      <c r="H527" s="4">
        <v>1.75</v>
      </c>
      <c r="I527" t="s">
        <v>19</v>
      </c>
      <c r="J527">
        <v>48</v>
      </c>
      <c r="K527">
        <v>0</v>
      </c>
      <c r="L527">
        <v>6</v>
      </c>
      <c r="M527" s="5">
        <v>1.4</v>
      </c>
      <c r="N527" s="4">
        <f t="shared" si="8"/>
        <v>1.75</v>
      </c>
      <c r="O527">
        <f>HOUR(TIMEVALUE(RetailTransactions[[#This Row],[Time]]))</f>
        <v>16</v>
      </c>
    </row>
    <row r="528" spans="1:15">
      <c r="A528" t="s">
        <v>727</v>
      </c>
      <c r="B528" s="3">
        <v>46258</v>
      </c>
      <c r="C528" t="s">
        <v>460</v>
      </c>
      <c r="D528" t="s">
        <v>33</v>
      </c>
      <c r="E528" t="s">
        <v>78</v>
      </c>
      <c r="F528" t="s">
        <v>39</v>
      </c>
      <c r="G528">
        <v>2</v>
      </c>
      <c r="H528" s="4">
        <v>1.55</v>
      </c>
      <c r="I528" t="s">
        <v>19</v>
      </c>
      <c r="J528">
        <v>35</v>
      </c>
      <c r="K528">
        <v>0</v>
      </c>
      <c r="L528">
        <v>8</v>
      </c>
      <c r="M528" s="5">
        <v>5.0999999999999996</v>
      </c>
      <c r="N528" s="4">
        <f t="shared" si="8"/>
        <v>3.1</v>
      </c>
      <c r="O528">
        <f>HOUR(TIMEVALUE(RetailTransactions[[#This Row],[Time]]))</f>
        <v>18</v>
      </c>
    </row>
    <row r="529" spans="1:15">
      <c r="A529" t="s">
        <v>728</v>
      </c>
      <c r="B529" s="3">
        <v>46216</v>
      </c>
      <c r="C529" t="s">
        <v>447</v>
      </c>
      <c r="D529" t="s">
        <v>33</v>
      </c>
      <c r="E529" t="s">
        <v>42</v>
      </c>
      <c r="F529" t="s">
        <v>43</v>
      </c>
      <c r="G529">
        <v>4</v>
      </c>
      <c r="H529" s="4">
        <v>1.39</v>
      </c>
      <c r="I529" t="s">
        <v>19</v>
      </c>
      <c r="J529">
        <v>23</v>
      </c>
      <c r="K529">
        <v>1</v>
      </c>
      <c r="L529">
        <v>7</v>
      </c>
      <c r="M529" s="5">
        <v>1.4</v>
      </c>
      <c r="N529" s="4">
        <f t="shared" si="8"/>
        <v>5.56</v>
      </c>
      <c r="O529">
        <f>HOUR(TIMEVALUE(RetailTransactions[[#This Row],[Time]]))</f>
        <v>11</v>
      </c>
    </row>
    <row r="530" spans="1:15">
      <c r="A530" t="s">
        <v>729</v>
      </c>
      <c r="B530" s="3">
        <v>46194</v>
      </c>
      <c r="C530" t="s">
        <v>224</v>
      </c>
      <c r="D530" t="s">
        <v>27</v>
      </c>
      <c r="E530" t="s">
        <v>106</v>
      </c>
      <c r="F530" t="s">
        <v>18</v>
      </c>
      <c r="G530">
        <v>1</v>
      </c>
      <c r="H530" s="4">
        <v>1.89</v>
      </c>
      <c r="I530" t="s">
        <v>19</v>
      </c>
      <c r="J530">
        <v>51</v>
      </c>
      <c r="K530">
        <v>0</v>
      </c>
      <c r="L530">
        <v>9</v>
      </c>
      <c r="M530" s="5">
        <v>4.4000000000000004</v>
      </c>
      <c r="N530" s="4">
        <f t="shared" si="8"/>
        <v>1.89</v>
      </c>
      <c r="O530">
        <f>HOUR(TIMEVALUE(RetailTransactions[[#This Row],[Time]]))</f>
        <v>19</v>
      </c>
    </row>
    <row r="531" spans="1:15">
      <c r="A531" t="s">
        <v>730</v>
      </c>
      <c r="B531" s="3">
        <v>46197</v>
      </c>
      <c r="C531" t="s">
        <v>207</v>
      </c>
      <c r="D531" t="s">
        <v>16</v>
      </c>
      <c r="E531" t="s">
        <v>57</v>
      </c>
      <c r="F531" t="s">
        <v>43</v>
      </c>
      <c r="G531">
        <v>1</v>
      </c>
      <c r="H531" s="4">
        <v>1.69</v>
      </c>
      <c r="I531" t="s">
        <v>19</v>
      </c>
      <c r="J531">
        <v>44</v>
      </c>
      <c r="K531">
        <v>0</v>
      </c>
      <c r="L531">
        <v>6</v>
      </c>
      <c r="M531" s="5">
        <v>1.5</v>
      </c>
      <c r="N531" s="4">
        <f t="shared" si="8"/>
        <v>1.69</v>
      </c>
      <c r="O531">
        <f>HOUR(TIMEVALUE(RetailTransactions[[#This Row],[Time]]))</f>
        <v>16</v>
      </c>
    </row>
    <row r="532" spans="1:15">
      <c r="A532" t="s">
        <v>731</v>
      </c>
      <c r="B532" s="3">
        <v>46222</v>
      </c>
      <c r="C532" t="s">
        <v>122</v>
      </c>
      <c r="D532" t="s">
        <v>27</v>
      </c>
      <c r="E532" t="s">
        <v>106</v>
      </c>
      <c r="F532" t="s">
        <v>18</v>
      </c>
      <c r="G532">
        <v>2</v>
      </c>
      <c r="H532" s="4">
        <v>1.89</v>
      </c>
      <c r="I532" t="s">
        <v>19</v>
      </c>
      <c r="J532">
        <v>45</v>
      </c>
      <c r="K532">
        <v>0</v>
      </c>
      <c r="L532">
        <v>7</v>
      </c>
      <c r="M532" s="5">
        <v>5.6</v>
      </c>
      <c r="N532" s="4">
        <f t="shared" si="8"/>
        <v>3.78</v>
      </c>
      <c r="O532">
        <f>HOUR(TIMEVALUE(RetailTransactions[[#This Row],[Time]]))</f>
        <v>12</v>
      </c>
    </row>
    <row r="533" spans="1:15">
      <c r="A533" t="s">
        <v>732</v>
      </c>
      <c r="B533" s="3">
        <v>46239</v>
      </c>
      <c r="C533" t="s">
        <v>523</v>
      </c>
      <c r="D533" t="s">
        <v>16</v>
      </c>
      <c r="E533" t="s">
        <v>34</v>
      </c>
      <c r="F533" t="s">
        <v>24</v>
      </c>
      <c r="G533">
        <v>1</v>
      </c>
      <c r="H533" s="4">
        <v>1.27</v>
      </c>
      <c r="I533" t="s">
        <v>30</v>
      </c>
      <c r="J533">
        <v>14</v>
      </c>
      <c r="K533">
        <v>0</v>
      </c>
      <c r="L533">
        <v>4</v>
      </c>
      <c r="M533" s="5">
        <v>2.6</v>
      </c>
      <c r="N533" s="4">
        <f t="shared" si="8"/>
        <v>1.27</v>
      </c>
      <c r="O533">
        <f>HOUR(TIMEVALUE(RetailTransactions[[#This Row],[Time]]))</f>
        <v>9</v>
      </c>
    </row>
    <row r="534" spans="1:15">
      <c r="A534" t="s">
        <v>733</v>
      </c>
      <c r="B534" s="3">
        <v>46262</v>
      </c>
      <c r="C534" t="s">
        <v>62</v>
      </c>
      <c r="D534" t="s">
        <v>72</v>
      </c>
      <c r="E534" t="s">
        <v>63</v>
      </c>
      <c r="F534" t="s">
        <v>50</v>
      </c>
      <c r="G534">
        <v>3</v>
      </c>
      <c r="H534" s="4">
        <v>3.49</v>
      </c>
      <c r="I534" t="s">
        <v>19</v>
      </c>
      <c r="J534">
        <v>13</v>
      </c>
      <c r="K534">
        <v>0</v>
      </c>
      <c r="L534">
        <v>6</v>
      </c>
      <c r="M534" s="5">
        <v>4.5999999999999996</v>
      </c>
      <c r="N534" s="4">
        <f t="shared" si="8"/>
        <v>10.47</v>
      </c>
      <c r="O534">
        <f>HOUR(TIMEVALUE(RetailTransactions[[#This Row],[Time]]))</f>
        <v>18</v>
      </c>
    </row>
    <row r="535" spans="1:15">
      <c r="A535" t="s">
        <v>734</v>
      </c>
      <c r="B535" s="3">
        <v>46191</v>
      </c>
      <c r="C535" t="s">
        <v>307</v>
      </c>
      <c r="D535" t="s">
        <v>37</v>
      </c>
      <c r="E535" t="s">
        <v>17</v>
      </c>
      <c r="F535" t="s">
        <v>18</v>
      </c>
      <c r="G535">
        <v>4</v>
      </c>
      <c r="H535" s="4">
        <v>1.75</v>
      </c>
      <c r="I535" t="s">
        <v>19</v>
      </c>
      <c r="J535">
        <v>54</v>
      </c>
      <c r="K535">
        <v>0</v>
      </c>
      <c r="L535">
        <v>6</v>
      </c>
      <c r="M535" s="5">
        <v>4.4000000000000004</v>
      </c>
      <c r="N535" s="4">
        <f t="shared" si="8"/>
        <v>7</v>
      </c>
      <c r="O535">
        <f>HOUR(TIMEVALUE(RetailTransactions[[#This Row],[Time]]))</f>
        <v>19</v>
      </c>
    </row>
    <row r="536" spans="1:15">
      <c r="A536" t="s">
        <v>735</v>
      </c>
      <c r="B536" s="3">
        <v>46244</v>
      </c>
      <c r="C536" t="s">
        <v>80</v>
      </c>
      <c r="D536" t="s">
        <v>33</v>
      </c>
      <c r="E536" t="s">
        <v>63</v>
      </c>
      <c r="F536" t="s">
        <v>50</v>
      </c>
      <c r="G536">
        <v>3</v>
      </c>
      <c r="H536" s="4">
        <v>3.49</v>
      </c>
      <c r="I536" t="s">
        <v>19</v>
      </c>
      <c r="J536">
        <v>3</v>
      </c>
      <c r="K536">
        <v>0</v>
      </c>
      <c r="L536">
        <v>5</v>
      </c>
      <c r="M536" s="5">
        <v>4.5999999999999996</v>
      </c>
      <c r="N536" s="4">
        <f t="shared" si="8"/>
        <v>10.47</v>
      </c>
      <c r="O536">
        <f>HOUR(TIMEVALUE(RetailTransactions[[#This Row],[Time]]))</f>
        <v>16</v>
      </c>
    </row>
    <row r="537" spans="1:15">
      <c r="A537" t="s">
        <v>736</v>
      </c>
      <c r="B537" s="3">
        <v>46189</v>
      </c>
      <c r="C537" t="s">
        <v>247</v>
      </c>
      <c r="D537" t="s">
        <v>22</v>
      </c>
      <c r="E537" t="s">
        <v>120</v>
      </c>
      <c r="F537" t="s">
        <v>50</v>
      </c>
      <c r="G537">
        <v>3</v>
      </c>
      <c r="H537" s="4">
        <v>2.25</v>
      </c>
      <c r="I537" t="s">
        <v>19</v>
      </c>
      <c r="J537">
        <v>54</v>
      </c>
      <c r="K537">
        <v>0</v>
      </c>
      <c r="L537">
        <v>6</v>
      </c>
      <c r="M537" s="5">
        <v>4.9000000000000004</v>
      </c>
      <c r="N537" s="4">
        <f t="shared" si="8"/>
        <v>6.75</v>
      </c>
      <c r="O537">
        <f>HOUR(TIMEVALUE(RetailTransactions[[#This Row],[Time]]))</f>
        <v>17</v>
      </c>
    </row>
    <row r="538" spans="1:15">
      <c r="A538" t="s">
        <v>737</v>
      </c>
      <c r="B538" s="3">
        <v>46188</v>
      </c>
      <c r="C538" t="s">
        <v>89</v>
      </c>
      <c r="D538" t="s">
        <v>33</v>
      </c>
      <c r="E538" t="s">
        <v>106</v>
      </c>
      <c r="F538" t="s">
        <v>18</v>
      </c>
      <c r="G538">
        <v>1</v>
      </c>
      <c r="H538" s="4">
        <v>1.89</v>
      </c>
      <c r="I538" t="s">
        <v>19</v>
      </c>
      <c r="J538">
        <v>21</v>
      </c>
      <c r="K538">
        <v>0</v>
      </c>
      <c r="L538">
        <v>6</v>
      </c>
      <c r="M538" s="5">
        <v>2.7</v>
      </c>
      <c r="N538" s="4">
        <f t="shared" si="8"/>
        <v>1.89</v>
      </c>
      <c r="O538">
        <f>HOUR(TIMEVALUE(RetailTransactions[[#This Row],[Time]]))</f>
        <v>14</v>
      </c>
    </row>
    <row r="539" spans="1:15">
      <c r="A539" t="s">
        <v>738</v>
      </c>
      <c r="B539" s="3">
        <v>46258</v>
      </c>
      <c r="C539" t="s">
        <v>347</v>
      </c>
      <c r="D539" t="s">
        <v>33</v>
      </c>
      <c r="E539" t="s">
        <v>106</v>
      </c>
      <c r="F539" t="s">
        <v>18</v>
      </c>
      <c r="G539">
        <v>1</v>
      </c>
      <c r="H539" s="4">
        <v>1.89</v>
      </c>
      <c r="I539" t="s">
        <v>19</v>
      </c>
      <c r="J539">
        <v>55</v>
      </c>
      <c r="K539">
        <v>0</v>
      </c>
      <c r="L539">
        <v>8</v>
      </c>
      <c r="M539" s="5">
        <v>6.5</v>
      </c>
      <c r="N539" s="4">
        <f t="shared" si="8"/>
        <v>1.89</v>
      </c>
      <c r="O539">
        <f>HOUR(TIMEVALUE(RetailTransactions[[#This Row],[Time]]))</f>
        <v>12</v>
      </c>
    </row>
    <row r="540" spans="1:15">
      <c r="A540" t="s">
        <v>739</v>
      </c>
      <c r="B540" s="3">
        <v>46180</v>
      </c>
      <c r="C540" t="s">
        <v>36</v>
      </c>
      <c r="D540" t="s">
        <v>27</v>
      </c>
      <c r="E540" t="s">
        <v>42</v>
      </c>
      <c r="F540" t="s">
        <v>43</v>
      </c>
      <c r="G540">
        <v>1</v>
      </c>
      <c r="H540" s="4">
        <v>1.39</v>
      </c>
      <c r="I540" t="s">
        <v>19</v>
      </c>
      <c r="J540">
        <v>52</v>
      </c>
      <c r="K540">
        <v>1</v>
      </c>
      <c r="L540">
        <v>8</v>
      </c>
      <c r="M540" s="5">
        <v>5.4</v>
      </c>
      <c r="N540" s="4">
        <f t="shared" si="8"/>
        <v>1.39</v>
      </c>
      <c r="O540">
        <f>HOUR(TIMEVALUE(RetailTransactions[[#This Row],[Time]]))</f>
        <v>12</v>
      </c>
    </row>
    <row r="541" spans="1:15">
      <c r="A541" t="s">
        <v>740</v>
      </c>
      <c r="B541" s="3">
        <v>46179</v>
      </c>
      <c r="C541" t="s">
        <v>590</v>
      </c>
      <c r="D541" t="s">
        <v>66</v>
      </c>
      <c r="E541" t="s">
        <v>46</v>
      </c>
      <c r="F541" t="s">
        <v>24</v>
      </c>
      <c r="G541">
        <v>1</v>
      </c>
      <c r="H541" s="4">
        <v>1.79</v>
      </c>
      <c r="I541" t="s">
        <v>19</v>
      </c>
      <c r="J541">
        <v>59</v>
      </c>
      <c r="K541">
        <v>0</v>
      </c>
      <c r="L541">
        <v>8</v>
      </c>
      <c r="M541" s="5">
        <v>5.4</v>
      </c>
      <c r="N541" s="4">
        <f t="shared" si="8"/>
        <v>1.79</v>
      </c>
      <c r="O541">
        <f>HOUR(TIMEVALUE(RetailTransactions[[#This Row],[Time]]))</f>
        <v>12</v>
      </c>
    </row>
    <row r="542" spans="1:15">
      <c r="A542" t="s">
        <v>741</v>
      </c>
      <c r="B542" s="3">
        <v>46259</v>
      </c>
      <c r="C542" t="s">
        <v>163</v>
      </c>
      <c r="D542" t="s">
        <v>22</v>
      </c>
      <c r="E542" t="s">
        <v>46</v>
      </c>
      <c r="F542" t="s">
        <v>24</v>
      </c>
      <c r="G542">
        <v>1</v>
      </c>
      <c r="H542" s="4">
        <v>1.79</v>
      </c>
      <c r="I542" t="s">
        <v>19</v>
      </c>
      <c r="J542">
        <v>32</v>
      </c>
      <c r="K542">
        <v>0</v>
      </c>
      <c r="L542">
        <v>9</v>
      </c>
      <c r="M542" s="5">
        <v>4.9000000000000004</v>
      </c>
      <c r="N542" s="4">
        <f t="shared" si="8"/>
        <v>1.79</v>
      </c>
      <c r="O542">
        <f>HOUR(TIMEVALUE(RetailTransactions[[#This Row],[Time]]))</f>
        <v>17</v>
      </c>
    </row>
    <row r="543" spans="1:15">
      <c r="A543" t="s">
        <v>742</v>
      </c>
      <c r="B543" s="3">
        <v>46249</v>
      </c>
      <c r="C543" t="s">
        <v>204</v>
      </c>
      <c r="D543" t="s">
        <v>66</v>
      </c>
      <c r="E543" t="s">
        <v>17</v>
      </c>
      <c r="F543" t="s">
        <v>18</v>
      </c>
      <c r="G543">
        <v>1</v>
      </c>
      <c r="H543" s="4">
        <v>1.75</v>
      </c>
      <c r="I543" t="s">
        <v>19</v>
      </c>
      <c r="J543">
        <v>44</v>
      </c>
      <c r="K543">
        <v>1</v>
      </c>
      <c r="L543">
        <v>7</v>
      </c>
      <c r="M543" s="5">
        <v>1.4</v>
      </c>
      <c r="N543" s="4">
        <f t="shared" si="8"/>
        <v>1.75</v>
      </c>
      <c r="O543">
        <f>HOUR(TIMEVALUE(RetailTransactions[[#This Row],[Time]]))</f>
        <v>14</v>
      </c>
    </row>
    <row r="544" spans="1:15">
      <c r="A544" t="s">
        <v>743</v>
      </c>
      <c r="B544" s="3">
        <v>46174</v>
      </c>
      <c r="C544" t="s">
        <v>744</v>
      </c>
      <c r="D544" t="s">
        <v>33</v>
      </c>
      <c r="E544" t="s">
        <v>78</v>
      </c>
      <c r="F544" t="s">
        <v>39</v>
      </c>
      <c r="G544">
        <v>2</v>
      </c>
      <c r="H544" s="4">
        <v>1.55</v>
      </c>
      <c r="I544" t="s">
        <v>19</v>
      </c>
      <c r="J544">
        <v>54</v>
      </c>
      <c r="K544">
        <v>0</v>
      </c>
      <c r="L544">
        <v>5</v>
      </c>
      <c r="M544" s="5">
        <v>4.9000000000000004</v>
      </c>
      <c r="N544" s="4">
        <f t="shared" si="8"/>
        <v>3.1</v>
      </c>
      <c r="O544">
        <f>HOUR(TIMEVALUE(RetailTransactions[[#This Row],[Time]]))</f>
        <v>20</v>
      </c>
    </row>
    <row r="545" spans="1:15">
      <c r="A545" t="s">
        <v>745</v>
      </c>
      <c r="B545" s="3">
        <v>46228</v>
      </c>
      <c r="C545" t="s">
        <v>215</v>
      </c>
      <c r="D545" t="s">
        <v>66</v>
      </c>
      <c r="E545" t="s">
        <v>28</v>
      </c>
      <c r="F545" t="s">
        <v>29</v>
      </c>
      <c r="G545">
        <v>1</v>
      </c>
      <c r="H545" s="4">
        <v>2.8</v>
      </c>
      <c r="I545" t="s">
        <v>30</v>
      </c>
      <c r="J545">
        <v>5</v>
      </c>
      <c r="K545">
        <v>0</v>
      </c>
      <c r="L545">
        <v>7</v>
      </c>
      <c r="M545" s="5">
        <v>4.3</v>
      </c>
      <c r="N545" s="4">
        <f t="shared" si="8"/>
        <v>2.8</v>
      </c>
      <c r="O545">
        <f>HOUR(TIMEVALUE(RetailTransactions[[#This Row],[Time]]))</f>
        <v>12</v>
      </c>
    </row>
    <row r="546" spans="1:15">
      <c r="A546" t="s">
        <v>746</v>
      </c>
      <c r="B546" s="3">
        <v>46216</v>
      </c>
      <c r="C546" t="s">
        <v>215</v>
      </c>
      <c r="D546" t="s">
        <v>33</v>
      </c>
      <c r="E546" t="s">
        <v>28</v>
      </c>
      <c r="F546" t="s">
        <v>29</v>
      </c>
      <c r="G546">
        <v>1</v>
      </c>
      <c r="H546" s="4">
        <v>3.29</v>
      </c>
      <c r="I546" t="s">
        <v>19</v>
      </c>
      <c r="J546">
        <v>50</v>
      </c>
      <c r="K546">
        <v>0</v>
      </c>
      <c r="L546">
        <v>9</v>
      </c>
      <c r="M546" s="5">
        <v>3.5</v>
      </c>
      <c r="N546" s="4">
        <f t="shared" si="8"/>
        <v>3.29</v>
      </c>
      <c r="O546">
        <f>HOUR(TIMEVALUE(RetailTransactions[[#This Row],[Time]]))</f>
        <v>12</v>
      </c>
    </row>
    <row r="547" spans="1:15">
      <c r="A547" t="s">
        <v>747</v>
      </c>
      <c r="B547" s="3">
        <v>46182</v>
      </c>
      <c r="C547" t="s">
        <v>154</v>
      </c>
      <c r="D547" t="s">
        <v>22</v>
      </c>
      <c r="E547" t="s">
        <v>78</v>
      </c>
      <c r="F547" t="s">
        <v>39</v>
      </c>
      <c r="G547">
        <v>1</v>
      </c>
      <c r="H547" s="4">
        <v>1.55</v>
      </c>
      <c r="I547" t="s">
        <v>19</v>
      </c>
      <c r="J547">
        <v>29</v>
      </c>
      <c r="K547">
        <v>0</v>
      </c>
      <c r="L547">
        <v>6</v>
      </c>
      <c r="M547" s="5">
        <v>1.4</v>
      </c>
      <c r="N547" s="4">
        <f t="shared" si="8"/>
        <v>1.55</v>
      </c>
      <c r="O547">
        <f>HOUR(TIMEVALUE(RetailTransactions[[#This Row],[Time]]))</f>
        <v>16</v>
      </c>
    </row>
    <row r="548" spans="1:15">
      <c r="A548" t="s">
        <v>748</v>
      </c>
      <c r="B548" s="3">
        <v>46175</v>
      </c>
      <c r="C548" t="s">
        <v>590</v>
      </c>
      <c r="D548" t="s">
        <v>22</v>
      </c>
      <c r="E548" t="s">
        <v>28</v>
      </c>
      <c r="F548" t="s">
        <v>29</v>
      </c>
      <c r="G548">
        <v>2</v>
      </c>
      <c r="H548" s="4">
        <v>3.29</v>
      </c>
      <c r="I548" t="s">
        <v>19</v>
      </c>
      <c r="J548">
        <v>40</v>
      </c>
      <c r="K548">
        <v>0</v>
      </c>
      <c r="L548">
        <v>8</v>
      </c>
      <c r="M548" s="5">
        <v>4.3</v>
      </c>
      <c r="N548" s="4">
        <f t="shared" si="8"/>
        <v>6.58</v>
      </c>
      <c r="O548">
        <f>HOUR(TIMEVALUE(RetailTransactions[[#This Row],[Time]]))</f>
        <v>12</v>
      </c>
    </row>
    <row r="549" spans="1:15">
      <c r="A549" t="s">
        <v>749</v>
      </c>
      <c r="B549" s="3">
        <v>46236</v>
      </c>
      <c r="C549" t="s">
        <v>48</v>
      </c>
      <c r="D549" t="s">
        <v>27</v>
      </c>
      <c r="E549" t="s">
        <v>57</v>
      </c>
      <c r="F549" t="s">
        <v>43</v>
      </c>
      <c r="G549">
        <v>1</v>
      </c>
      <c r="H549" s="4">
        <v>1.69</v>
      </c>
      <c r="I549" t="s">
        <v>19</v>
      </c>
      <c r="J549">
        <v>49</v>
      </c>
      <c r="K549">
        <v>0</v>
      </c>
      <c r="L549">
        <v>9</v>
      </c>
      <c r="M549" s="5">
        <v>5.6</v>
      </c>
      <c r="N549" s="4">
        <f t="shared" si="8"/>
        <v>1.69</v>
      </c>
      <c r="O549">
        <f>HOUR(TIMEVALUE(RetailTransactions[[#This Row],[Time]]))</f>
        <v>17</v>
      </c>
    </row>
    <row r="550" spans="1:15">
      <c r="A550" t="s">
        <v>750</v>
      </c>
      <c r="B550" s="3">
        <v>46184</v>
      </c>
      <c r="C550" t="s">
        <v>254</v>
      </c>
      <c r="D550" t="s">
        <v>37</v>
      </c>
      <c r="E550" t="s">
        <v>125</v>
      </c>
      <c r="F550" t="s">
        <v>39</v>
      </c>
      <c r="G550">
        <v>3</v>
      </c>
      <c r="H550" s="4">
        <v>1.85</v>
      </c>
      <c r="I550" t="s">
        <v>19</v>
      </c>
      <c r="J550">
        <v>36</v>
      </c>
      <c r="K550">
        <v>0</v>
      </c>
      <c r="L550">
        <v>6</v>
      </c>
      <c r="M550" s="5">
        <v>3</v>
      </c>
      <c r="N550" s="4">
        <f t="shared" si="8"/>
        <v>5.5500000000000007</v>
      </c>
      <c r="O550">
        <f>HOUR(TIMEVALUE(RetailTransactions[[#This Row],[Time]]))</f>
        <v>10</v>
      </c>
    </row>
    <row r="551" spans="1:15">
      <c r="A551" t="s">
        <v>751</v>
      </c>
      <c r="B551" s="3">
        <v>46254</v>
      </c>
      <c r="C551" t="s">
        <v>345</v>
      </c>
      <c r="D551" t="s">
        <v>37</v>
      </c>
      <c r="E551" t="s">
        <v>57</v>
      </c>
      <c r="F551" t="s">
        <v>43</v>
      </c>
      <c r="G551">
        <v>1</v>
      </c>
      <c r="H551" s="4">
        <v>1.69</v>
      </c>
      <c r="I551" t="s">
        <v>19</v>
      </c>
      <c r="J551">
        <v>57</v>
      </c>
      <c r="K551">
        <v>0</v>
      </c>
      <c r="L551">
        <v>7</v>
      </c>
      <c r="M551" s="5">
        <v>4.8</v>
      </c>
      <c r="N551" s="4">
        <f t="shared" si="8"/>
        <v>1.69</v>
      </c>
      <c r="O551">
        <f>HOUR(TIMEVALUE(RetailTransactions[[#This Row],[Time]]))</f>
        <v>18</v>
      </c>
    </row>
    <row r="552" spans="1:15">
      <c r="A552" t="s">
        <v>752</v>
      </c>
      <c r="B552" s="3">
        <v>46213</v>
      </c>
      <c r="C552" t="s">
        <v>105</v>
      </c>
      <c r="D552" t="s">
        <v>72</v>
      </c>
      <c r="E552" t="s">
        <v>125</v>
      </c>
      <c r="F552" t="s">
        <v>39</v>
      </c>
      <c r="G552">
        <v>1</v>
      </c>
      <c r="H552" s="4">
        <v>1.57</v>
      </c>
      <c r="I552" t="s">
        <v>30</v>
      </c>
      <c r="J552">
        <v>13</v>
      </c>
      <c r="K552">
        <v>0</v>
      </c>
      <c r="L552">
        <v>8</v>
      </c>
      <c r="M552" s="5">
        <v>4.8</v>
      </c>
      <c r="N552" s="4">
        <f t="shared" si="8"/>
        <v>1.57</v>
      </c>
      <c r="O552">
        <f>HOUR(TIMEVALUE(RetailTransactions[[#This Row],[Time]]))</f>
        <v>12</v>
      </c>
    </row>
    <row r="553" spans="1:15">
      <c r="A553" t="s">
        <v>753</v>
      </c>
      <c r="B553" s="3">
        <v>46260</v>
      </c>
      <c r="C553" t="s">
        <v>181</v>
      </c>
      <c r="D553" t="s">
        <v>16</v>
      </c>
      <c r="E553" t="s">
        <v>17</v>
      </c>
      <c r="F553" t="s">
        <v>18</v>
      </c>
      <c r="G553">
        <v>1</v>
      </c>
      <c r="H553" s="4">
        <v>1.49</v>
      </c>
      <c r="I553" t="s">
        <v>30</v>
      </c>
      <c r="J553">
        <v>41</v>
      </c>
      <c r="K553">
        <v>0</v>
      </c>
      <c r="L553">
        <v>7</v>
      </c>
      <c r="M553" s="5">
        <v>1.9</v>
      </c>
      <c r="N553" s="4">
        <f t="shared" si="8"/>
        <v>1.49</v>
      </c>
      <c r="O553">
        <f>HOUR(TIMEVALUE(RetailTransactions[[#This Row],[Time]]))</f>
        <v>9</v>
      </c>
    </row>
    <row r="554" spans="1:15">
      <c r="A554" t="s">
        <v>754</v>
      </c>
      <c r="B554" s="3">
        <v>46189</v>
      </c>
      <c r="C554" t="s">
        <v>137</v>
      </c>
      <c r="D554" t="s">
        <v>22</v>
      </c>
      <c r="E554" t="s">
        <v>34</v>
      </c>
      <c r="F554" t="s">
        <v>24</v>
      </c>
      <c r="G554">
        <v>2</v>
      </c>
      <c r="H554" s="4">
        <v>1.27</v>
      </c>
      <c r="I554" t="s">
        <v>30</v>
      </c>
      <c r="J554">
        <v>58</v>
      </c>
      <c r="K554">
        <v>0</v>
      </c>
      <c r="L554">
        <v>6</v>
      </c>
      <c r="M554" s="5">
        <v>3.8</v>
      </c>
      <c r="N554" s="4">
        <f t="shared" si="8"/>
        <v>2.54</v>
      </c>
      <c r="O554">
        <f>HOUR(TIMEVALUE(RetailTransactions[[#This Row],[Time]]))</f>
        <v>13</v>
      </c>
    </row>
    <row r="555" spans="1:15">
      <c r="A555" t="s">
        <v>755</v>
      </c>
      <c r="B555" s="3">
        <v>46261</v>
      </c>
      <c r="C555" t="s">
        <v>181</v>
      </c>
      <c r="D555" t="s">
        <v>37</v>
      </c>
      <c r="E555" t="s">
        <v>125</v>
      </c>
      <c r="F555" t="s">
        <v>39</v>
      </c>
      <c r="G555">
        <v>1</v>
      </c>
      <c r="H555" s="4">
        <v>1.85</v>
      </c>
      <c r="I555" t="s">
        <v>19</v>
      </c>
      <c r="J555">
        <v>53</v>
      </c>
      <c r="K555">
        <v>0</v>
      </c>
      <c r="L555">
        <v>4</v>
      </c>
      <c r="M555" s="5">
        <v>4.5</v>
      </c>
      <c r="N555" s="4">
        <f t="shared" si="8"/>
        <v>1.85</v>
      </c>
      <c r="O555">
        <f>HOUR(TIMEVALUE(RetailTransactions[[#This Row],[Time]]))</f>
        <v>9</v>
      </c>
    </row>
    <row r="556" spans="1:15">
      <c r="A556" t="s">
        <v>756</v>
      </c>
      <c r="B556" s="3">
        <v>46198</v>
      </c>
      <c r="C556" t="s">
        <v>672</v>
      </c>
      <c r="D556" t="s">
        <v>37</v>
      </c>
      <c r="E556" t="s">
        <v>120</v>
      </c>
      <c r="F556" t="s">
        <v>50</v>
      </c>
      <c r="G556">
        <v>1</v>
      </c>
      <c r="H556" s="4">
        <v>2.25</v>
      </c>
      <c r="I556" t="s">
        <v>19</v>
      </c>
      <c r="J556">
        <v>46</v>
      </c>
      <c r="K556">
        <v>0</v>
      </c>
      <c r="L556">
        <v>6</v>
      </c>
      <c r="M556" s="5">
        <v>2.9</v>
      </c>
      <c r="N556" s="4">
        <f t="shared" si="8"/>
        <v>2.25</v>
      </c>
      <c r="O556">
        <f>HOUR(TIMEVALUE(RetailTransactions[[#This Row],[Time]]))</f>
        <v>16</v>
      </c>
    </row>
    <row r="557" spans="1:15">
      <c r="A557" t="s">
        <v>757</v>
      </c>
      <c r="B557" s="3">
        <v>46259</v>
      </c>
      <c r="C557" t="s">
        <v>62</v>
      </c>
      <c r="D557" t="s">
        <v>22</v>
      </c>
      <c r="E557" t="s">
        <v>85</v>
      </c>
      <c r="F557" t="s">
        <v>18</v>
      </c>
      <c r="G557">
        <v>2</v>
      </c>
      <c r="H557" s="4">
        <v>2.4900000000000002</v>
      </c>
      <c r="I557" t="s">
        <v>19</v>
      </c>
      <c r="J557">
        <v>29</v>
      </c>
      <c r="K557">
        <v>0</v>
      </c>
      <c r="L557">
        <v>9</v>
      </c>
      <c r="M557" s="5">
        <v>4.2</v>
      </c>
      <c r="N557" s="4">
        <f t="shared" si="8"/>
        <v>4.9800000000000004</v>
      </c>
      <c r="O557">
        <f>HOUR(TIMEVALUE(RetailTransactions[[#This Row],[Time]]))</f>
        <v>18</v>
      </c>
    </row>
    <row r="558" spans="1:15">
      <c r="A558" t="s">
        <v>758</v>
      </c>
      <c r="B558" s="3">
        <v>46256</v>
      </c>
      <c r="C558" t="s">
        <v>467</v>
      </c>
      <c r="D558" t="s">
        <v>66</v>
      </c>
      <c r="E558" t="s">
        <v>42</v>
      </c>
      <c r="F558" t="s">
        <v>43</v>
      </c>
      <c r="G558">
        <v>3</v>
      </c>
      <c r="H558" s="4">
        <v>1.39</v>
      </c>
      <c r="I558" t="s">
        <v>19</v>
      </c>
      <c r="J558">
        <v>37</v>
      </c>
      <c r="K558">
        <v>0</v>
      </c>
      <c r="L558">
        <v>9</v>
      </c>
      <c r="M558" s="5">
        <v>6.1</v>
      </c>
      <c r="N558" s="4">
        <f t="shared" si="8"/>
        <v>4.17</v>
      </c>
      <c r="O558">
        <f>HOUR(TIMEVALUE(RetailTransactions[[#This Row],[Time]]))</f>
        <v>12</v>
      </c>
    </row>
    <row r="559" spans="1:15">
      <c r="A559" t="s">
        <v>759</v>
      </c>
      <c r="B559" s="3">
        <v>46210</v>
      </c>
      <c r="C559" t="s">
        <v>275</v>
      </c>
      <c r="D559" t="s">
        <v>22</v>
      </c>
      <c r="E559" t="s">
        <v>28</v>
      </c>
      <c r="F559" t="s">
        <v>29</v>
      </c>
      <c r="G559">
        <v>1</v>
      </c>
      <c r="H559" s="4">
        <v>3.29</v>
      </c>
      <c r="I559" t="s">
        <v>19</v>
      </c>
      <c r="J559">
        <v>15</v>
      </c>
      <c r="K559">
        <v>0</v>
      </c>
      <c r="L559">
        <v>4</v>
      </c>
      <c r="M559" s="5">
        <v>3.8</v>
      </c>
      <c r="N559" s="4">
        <f t="shared" si="8"/>
        <v>3.29</v>
      </c>
      <c r="O559">
        <f>HOUR(TIMEVALUE(RetailTransactions[[#This Row],[Time]]))</f>
        <v>14</v>
      </c>
    </row>
    <row r="560" spans="1:15">
      <c r="A560" t="s">
        <v>760</v>
      </c>
      <c r="B560" s="3">
        <v>46202</v>
      </c>
      <c r="C560" t="s">
        <v>84</v>
      </c>
      <c r="D560" t="s">
        <v>33</v>
      </c>
      <c r="E560" t="s">
        <v>78</v>
      </c>
      <c r="F560" t="s">
        <v>39</v>
      </c>
      <c r="G560">
        <v>3</v>
      </c>
      <c r="H560" s="4">
        <v>1.55</v>
      </c>
      <c r="I560" t="s">
        <v>19</v>
      </c>
      <c r="J560">
        <v>53</v>
      </c>
      <c r="K560">
        <v>0</v>
      </c>
      <c r="L560">
        <v>4</v>
      </c>
      <c r="M560" s="5">
        <v>3.3</v>
      </c>
      <c r="N560" s="4">
        <f t="shared" si="8"/>
        <v>4.6500000000000004</v>
      </c>
      <c r="O560">
        <f>HOUR(TIMEVALUE(RetailTransactions[[#This Row],[Time]]))</f>
        <v>14</v>
      </c>
    </row>
    <row r="561" spans="1:15">
      <c r="A561" t="s">
        <v>761</v>
      </c>
      <c r="B561" s="3">
        <v>46240</v>
      </c>
      <c r="C561" t="s">
        <v>307</v>
      </c>
      <c r="D561" t="s">
        <v>37</v>
      </c>
      <c r="E561" t="s">
        <v>106</v>
      </c>
      <c r="F561" t="s">
        <v>18</v>
      </c>
      <c r="G561">
        <v>2</v>
      </c>
      <c r="H561" s="4">
        <v>1.89</v>
      </c>
      <c r="I561" t="s">
        <v>19</v>
      </c>
      <c r="J561">
        <v>41</v>
      </c>
      <c r="K561">
        <v>0</v>
      </c>
      <c r="L561">
        <v>8</v>
      </c>
      <c r="M561" s="5">
        <v>6.9</v>
      </c>
      <c r="N561" s="4">
        <f t="shared" si="8"/>
        <v>3.78</v>
      </c>
      <c r="O561">
        <f>HOUR(TIMEVALUE(RetailTransactions[[#This Row],[Time]]))</f>
        <v>19</v>
      </c>
    </row>
    <row r="562" spans="1:15">
      <c r="A562" t="s">
        <v>762</v>
      </c>
      <c r="B562" s="3">
        <v>46176</v>
      </c>
      <c r="C562" t="s">
        <v>763</v>
      </c>
      <c r="D562" t="s">
        <v>16</v>
      </c>
      <c r="E562" t="s">
        <v>38</v>
      </c>
      <c r="F562" t="s">
        <v>39</v>
      </c>
      <c r="G562">
        <v>1</v>
      </c>
      <c r="H562" s="4">
        <v>2.37</v>
      </c>
      <c r="I562" t="s">
        <v>30</v>
      </c>
      <c r="J562">
        <v>36</v>
      </c>
      <c r="K562">
        <v>0</v>
      </c>
      <c r="L562">
        <v>5</v>
      </c>
      <c r="M562" s="5">
        <v>4.7</v>
      </c>
      <c r="N562" s="4">
        <f t="shared" si="8"/>
        <v>2.37</v>
      </c>
      <c r="O562">
        <f>HOUR(TIMEVALUE(RetailTransactions[[#This Row],[Time]]))</f>
        <v>10</v>
      </c>
    </row>
    <row r="563" spans="1:15">
      <c r="A563" t="s">
        <v>764</v>
      </c>
      <c r="B563" s="3">
        <v>46246</v>
      </c>
      <c r="C563" t="s">
        <v>105</v>
      </c>
      <c r="D563" t="s">
        <v>16</v>
      </c>
      <c r="E563" t="s">
        <v>38</v>
      </c>
      <c r="F563" t="s">
        <v>39</v>
      </c>
      <c r="G563">
        <v>2</v>
      </c>
      <c r="H563" s="4">
        <v>2.37</v>
      </c>
      <c r="I563" t="s">
        <v>30</v>
      </c>
      <c r="J563">
        <v>51</v>
      </c>
      <c r="K563">
        <v>0</v>
      </c>
      <c r="L563">
        <v>6</v>
      </c>
      <c r="M563" s="5">
        <v>5.9</v>
      </c>
      <c r="N563" s="4">
        <f t="shared" si="8"/>
        <v>4.74</v>
      </c>
      <c r="O563">
        <f>HOUR(TIMEVALUE(RetailTransactions[[#This Row],[Time]]))</f>
        <v>12</v>
      </c>
    </row>
    <row r="564" spans="1:15">
      <c r="A564" t="s">
        <v>765</v>
      </c>
      <c r="B564" s="3">
        <v>46193</v>
      </c>
      <c r="C564" t="s">
        <v>93</v>
      </c>
      <c r="D564" t="s">
        <v>66</v>
      </c>
      <c r="E564" t="s">
        <v>120</v>
      </c>
      <c r="F564" t="s">
        <v>50</v>
      </c>
      <c r="G564">
        <v>2</v>
      </c>
      <c r="H564" s="4">
        <v>2.25</v>
      </c>
      <c r="I564" t="s">
        <v>19</v>
      </c>
      <c r="J564">
        <v>15</v>
      </c>
      <c r="K564">
        <v>0</v>
      </c>
      <c r="L564">
        <v>7</v>
      </c>
      <c r="M564" s="5">
        <v>3.6</v>
      </c>
      <c r="N564" s="4">
        <f t="shared" si="8"/>
        <v>4.5</v>
      </c>
      <c r="O564">
        <f>HOUR(TIMEVALUE(RetailTransactions[[#This Row],[Time]]))</f>
        <v>12</v>
      </c>
    </row>
    <row r="565" spans="1:15">
      <c r="A565" t="s">
        <v>766</v>
      </c>
      <c r="B565" s="3">
        <v>46244</v>
      </c>
      <c r="C565" t="s">
        <v>95</v>
      </c>
      <c r="D565" t="s">
        <v>33</v>
      </c>
      <c r="E565" t="s">
        <v>28</v>
      </c>
      <c r="F565" t="s">
        <v>29</v>
      </c>
      <c r="G565">
        <v>1</v>
      </c>
      <c r="H565" s="4">
        <v>2.8</v>
      </c>
      <c r="I565" t="s">
        <v>30</v>
      </c>
      <c r="J565">
        <v>9</v>
      </c>
      <c r="K565">
        <v>0</v>
      </c>
      <c r="L565">
        <v>7</v>
      </c>
      <c r="M565" s="5">
        <v>1.4</v>
      </c>
      <c r="N565" s="4">
        <f t="shared" si="8"/>
        <v>2.8</v>
      </c>
      <c r="O565">
        <f>HOUR(TIMEVALUE(RetailTransactions[[#This Row],[Time]]))</f>
        <v>16</v>
      </c>
    </row>
    <row r="566" spans="1:15">
      <c r="A566" t="s">
        <v>767</v>
      </c>
      <c r="B566" s="3">
        <v>46189</v>
      </c>
      <c r="C566" t="s">
        <v>202</v>
      </c>
      <c r="D566" t="s">
        <v>22</v>
      </c>
      <c r="E566" t="s">
        <v>63</v>
      </c>
      <c r="F566" t="s">
        <v>50</v>
      </c>
      <c r="G566">
        <v>1</v>
      </c>
      <c r="H566" s="4">
        <v>3.49</v>
      </c>
      <c r="I566" t="s">
        <v>19</v>
      </c>
      <c r="J566">
        <v>33</v>
      </c>
      <c r="K566">
        <v>0</v>
      </c>
      <c r="L566">
        <v>9</v>
      </c>
      <c r="M566" s="5">
        <v>4.4000000000000004</v>
      </c>
      <c r="N566" s="4">
        <f t="shared" si="8"/>
        <v>3.49</v>
      </c>
      <c r="O566">
        <f>HOUR(TIMEVALUE(RetailTransactions[[#This Row],[Time]]))</f>
        <v>13</v>
      </c>
    </row>
    <row r="567" spans="1:15">
      <c r="A567" t="s">
        <v>768</v>
      </c>
      <c r="B567" s="3">
        <v>46182</v>
      </c>
      <c r="C567" t="s">
        <v>26</v>
      </c>
      <c r="D567" t="s">
        <v>22</v>
      </c>
      <c r="E567" t="s">
        <v>17</v>
      </c>
      <c r="F567" t="s">
        <v>18</v>
      </c>
      <c r="G567">
        <v>1</v>
      </c>
      <c r="H567" s="4">
        <v>1.75</v>
      </c>
      <c r="I567" t="s">
        <v>19</v>
      </c>
      <c r="J567">
        <v>3</v>
      </c>
      <c r="K567">
        <v>0</v>
      </c>
      <c r="L567">
        <v>7</v>
      </c>
      <c r="M567" s="5">
        <v>4.3</v>
      </c>
      <c r="N567" s="4">
        <f t="shared" si="8"/>
        <v>1.75</v>
      </c>
      <c r="O567">
        <f>HOUR(TIMEVALUE(RetailTransactions[[#This Row],[Time]]))</f>
        <v>13</v>
      </c>
    </row>
    <row r="568" spans="1:15">
      <c r="A568" t="s">
        <v>769</v>
      </c>
      <c r="B568" s="3">
        <v>46226</v>
      </c>
      <c r="C568" t="s">
        <v>340</v>
      </c>
      <c r="D568" t="s">
        <v>37</v>
      </c>
      <c r="E568" t="s">
        <v>125</v>
      </c>
      <c r="F568" t="s">
        <v>39</v>
      </c>
      <c r="G568">
        <v>3</v>
      </c>
      <c r="H568" s="4">
        <v>1.85</v>
      </c>
      <c r="I568" t="s">
        <v>19</v>
      </c>
      <c r="J568">
        <v>29</v>
      </c>
      <c r="K568">
        <v>0</v>
      </c>
      <c r="L568">
        <v>9</v>
      </c>
      <c r="M568" s="5">
        <v>4.3</v>
      </c>
      <c r="N568" s="4">
        <f t="shared" si="8"/>
        <v>5.5500000000000007</v>
      </c>
      <c r="O568">
        <f>HOUR(TIMEVALUE(RetailTransactions[[#This Row],[Time]]))</f>
        <v>19</v>
      </c>
    </row>
    <row r="569" spans="1:15">
      <c r="A569" t="s">
        <v>770</v>
      </c>
      <c r="B569" s="3">
        <v>46260</v>
      </c>
      <c r="C569" t="s">
        <v>388</v>
      </c>
      <c r="D569" t="s">
        <v>16</v>
      </c>
      <c r="E569" t="s">
        <v>69</v>
      </c>
      <c r="F569" t="s">
        <v>43</v>
      </c>
      <c r="G569">
        <v>1</v>
      </c>
      <c r="H569" s="4">
        <v>1.69</v>
      </c>
      <c r="I569" t="s">
        <v>30</v>
      </c>
      <c r="J569">
        <v>55</v>
      </c>
      <c r="K569">
        <v>0</v>
      </c>
      <c r="L569">
        <v>9</v>
      </c>
      <c r="M569" s="5">
        <v>3.3</v>
      </c>
      <c r="N569" s="4">
        <f t="shared" si="8"/>
        <v>1.69</v>
      </c>
      <c r="O569">
        <f>HOUR(TIMEVALUE(RetailTransactions[[#This Row],[Time]]))</f>
        <v>18</v>
      </c>
    </row>
    <row r="570" spans="1:15">
      <c r="A570" t="s">
        <v>771</v>
      </c>
      <c r="B570" s="3">
        <v>46253</v>
      </c>
      <c r="C570" t="s">
        <v>314</v>
      </c>
      <c r="D570" t="s">
        <v>16</v>
      </c>
      <c r="E570" t="s">
        <v>17</v>
      </c>
      <c r="F570" t="s">
        <v>18</v>
      </c>
      <c r="G570">
        <v>2</v>
      </c>
      <c r="H570" s="4">
        <v>1.49</v>
      </c>
      <c r="I570" t="s">
        <v>30</v>
      </c>
      <c r="J570">
        <v>41</v>
      </c>
      <c r="K570">
        <v>0</v>
      </c>
      <c r="L570">
        <v>4</v>
      </c>
      <c r="M570" s="5">
        <v>3.7</v>
      </c>
      <c r="N570" s="4">
        <f t="shared" si="8"/>
        <v>2.98</v>
      </c>
      <c r="O570">
        <f>HOUR(TIMEVALUE(RetailTransactions[[#This Row],[Time]]))</f>
        <v>14</v>
      </c>
    </row>
    <row r="571" spans="1:15">
      <c r="A571" t="s">
        <v>772</v>
      </c>
      <c r="B571" s="3">
        <v>46234</v>
      </c>
      <c r="C571" t="s">
        <v>272</v>
      </c>
      <c r="D571" t="s">
        <v>72</v>
      </c>
      <c r="E571" t="s">
        <v>49</v>
      </c>
      <c r="F571" t="s">
        <v>50</v>
      </c>
      <c r="G571">
        <v>1</v>
      </c>
      <c r="H571" s="4">
        <v>3.36</v>
      </c>
      <c r="I571" t="s">
        <v>30</v>
      </c>
      <c r="J571">
        <v>15</v>
      </c>
      <c r="K571">
        <v>0</v>
      </c>
      <c r="L571">
        <v>8</v>
      </c>
      <c r="M571" s="5">
        <v>6.9</v>
      </c>
      <c r="N571" s="4">
        <f t="shared" si="8"/>
        <v>3.36</v>
      </c>
      <c r="O571">
        <f>HOUR(TIMEVALUE(RetailTransactions[[#This Row],[Time]]))</f>
        <v>18</v>
      </c>
    </row>
    <row r="572" spans="1:15">
      <c r="A572" t="s">
        <v>773</v>
      </c>
      <c r="B572" s="3">
        <v>46223</v>
      </c>
      <c r="C572" t="s">
        <v>117</v>
      </c>
      <c r="D572" t="s">
        <v>33</v>
      </c>
      <c r="E572" t="s">
        <v>115</v>
      </c>
      <c r="F572" t="s">
        <v>29</v>
      </c>
      <c r="G572">
        <v>2</v>
      </c>
      <c r="H572" s="4">
        <v>3.99</v>
      </c>
      <c r="I572" t="s">
        <v>19</v>
      </c>
      <c r="J572">
        <v>55</v>
      </c>
      <c r="K572">
        <v>0</v>
      </c>
      <c r="L572">
        <v>6</v>
      </c>
      <c r="M572" s="5">
        <v>4.3</v>
      </c>
      <c r="N572" s="4">
        <f t="shared" si="8"/>
        <v>7.98</v>
      </c>
      <c r="O572">
        <f>HOUR(TIMEVALUE(RetailTransactions[[#This Row],[Time]]))</f>
        <v>18</v>
      </c>
    </row>
    <row r="573" spans="1:15">
      <c r="A573" t="s">
        <v>774</v>
      </c>
      <c r="B573" s="3">
        <v>46215</v>
      </c>
      <c r="C573" t="s">
        <v>207</v>
      </c>
      <c r="D573" t="s">
        <v>27</v>
      </c>
      <c r="E573" t="s">
        <v>34</v>
      </c>
      <c r="F573" t="s">
        <v>24</v>
      </c>
      <c r="G573">
        <v>1</v>
      </c>
      <c r="H573" s="4">
        <v>1.27</v>
      </c>
      <c r="I573" t="s">
        <v>30</v>
      </c>
      <c r="J573">
        <v>10</v>
      </c>
      <c r="K573">
        <v>0</v>
      </c>
      <c r="L573">
        <v>4</v>
      </c>
      <c r="M573" s="5">
        <v>3.8</v>
      </c>
      <c r="N573" s="4">
        <f t="shared" si="8"/>
        <v>1.27</v>
      </c>
      <c r="O573">
        <f>HOUR(TIMEVALUE(RetailTransactions[[#This Row],[Time]]))</f>
        <v>16</v>
      </c>
    </row>
    <row r="574" spans="1:15">
      <c r="A574" t="s">
        <v>775</v>
      </c>
      <c r="B574" s="3">
        <v>46238</v>
      </c>
      <c r="C574" t="s">
        <v>56</v>
      </c>
      <c r="D574" t="s">
        <v>22</v>
      </c>
      <c r="E574" t="s">
        <v>120</v>
      </c>
      <c r="F574" t="s">
        <v>50</v>
      </c>
      <c r="G574">
        <v>1</v>
      </c>
      <c r="H574" s="4">
        <v>2.25</v>
      </c>
      <c r="I574" t="s">
        <v>19</v>
      </c>
      <c r="J574">
        <v>26</v>
      </c>
      <c r="K574">
        <v>0</v>
      </c>
      <c r="L574">
        <v>9</v>
      </c>
      <c r="M574" s="5">
        <v>6.3</v>
      </c>
      <c r="N574" s="4">
        <f t="shared" si="8"/>
        <v>2.25</v>
      </c>
      <c r="O574">
        <f>HOUR(TIMEVALUE(RetailTransactions[[#This Row],[Time]]))</f>
        <v>17</v>
      </c>
    </row>
    <row r="575" spans="1:15">
      <c r="A575" t="s">
        <v>776</v>
      </c>
      <c r="B575" s="3">
        <v>46263</v>
      </c>
      <c r="C575" t="s">
        <v>232</v>
      </c>
      <c r="D575" t="s">
        <v>66</v>
      </c>
      <c r="E575" t="s">
        <v>46</v>
      </c>
      <c r="F575" t="s">
        <v>24</v>
      </c>
      <c r="G575">
        <v>2</v>
      </c>
      <c r="H575" s="4">
        <v>1.79</v>
      </c>
      <c r="I575" t="s">
        <v>19</v>
      </c>
      <c r="J575">
        <v>51</v>
      </c>
      <c r="K575">
        <v>0</v>
      </c>
      <c r="L575">
        <v>7</v>
      </c>
      <c r="M575" s="5">
        <v>3.1</v>
      </c>
      <c r="N575" s="4">
        <f t="shared" si="8"/>
        <v>3.58</v>
      </c>
      <c r="O575">
        <f>HOUR(TIMEVALUE(RetailTransactions[[#This Row],[Time]]))</f>
        <v>19</v>
      </c>
    </row>
    <row r="576" spans="1:15">
      <c r="A576" t="s">
        <v>777</v>
      </c>
      <c r="B576" s="3">
        <v>46237</v>
      </c>
      <c r="C576" t="s">
        <v>318</v>
      </c>
      <c r="D576" t="s">
        <v>33</v>
      </c>
      <c r="E576" t="s">
        <v>63</v>
      </c>
      <c r="F576" t="s">
        <v>50</v>
      </c>
      <c r="G576">
        <v>1</v>
      </c>
      <c r="H576" s="4">
        <v>3.49</v>
      </c>
      <c r="I576" t="s">
        <v>19</v>
      </c>
      <c r="J576">
        <v>6</v>
      </c>
      <c r="K576">
        <v>0</v>
      </c>
      <c r="L576">
        <v>8</v>
      </c>
      <c r="M576" s="5">
        <v>4.2</v>
      </c>
      <c r="N576" s="4">
        <f t="shared" si="8"/>
        <v>3.49</v>
      </c>
      <c r="O576">
        <f>HOUR(TIMEVALUE(RetailTransactions[[#This Row],[Time]]))</f>
        <v>12</v>
      </c>
    </row>
    <row r="577" spans="1:15">
      <c r="A577" t="s">
        <v>778</v>
      </c>
      <c r="B577" s="3">
        <v>46238</v>
      </c>
      <c r="C577" t="s">
        <v>71</v>
      </c>
      <c r="D577" t="s">
        <v>22</v>
      </c>
      <c r="E577" t="s">
        <v>69</v>
      </c>
      <c r="F577" t="s">
        <v>43</v>
      </c>
      <c r="G577">
        <v>4</v>
      </c>
      <c r="H577" s="4">
        <v>1.99</v>
      </c>
      <c r="I577" t="s">
        <v>19</v>
      </c>
      <c r="J577">
        <v>16</v>
      </c>
      <c r="K577">
        <v>0</v>
      </c>
      <c r="L577">
        <v>9</v>
      </c>
      <c r="M577" s="5">
        <v>4.0999999999999996</v>
      </c>
      <c r="N577" s="4">
        <f t="shared" si="8"/>
        <v>7.96</v>
      </c>
      <c r="O577">
        <f>HOUR(TIMEVALUE(RetailTransactions[[#This Row],[Time]]))</f>
        <v>17</v>
      </c>
    </row>
    <row r="578" spans="1:15">
      <c r="A578" t="s">
        <v>779</v>
      </c>
      <c r="B578" s="3">
        <v>46199</v>
      </c>
      <c r="C578" t="s">
        <v>15</v>
      </c>
      <c r="D578" t="s">
        <v>72</v>
      </c>
      <c r="E578" t="s">
        <v>115</v>
      </c>
      <c r="F578" t="s">
        <v>29</v>
      </c>
      <c r="G578">
        <v>1</v>
      </c>
      <c r="H578" s="4">
        <v>3.39</v>
      </c>
      <c r="I578" t="s">
        <v>30</v>
      </c>
      <c r="J578">
        <v>6</v>
      </c>
      <c r="K578">
        <v>0</v>
      </c>
      <c r="L578">
        <v>6</v>
      </c>
      <c r="M578" s="5">
        <v>1.2</v>
      </c>
      <c r="N578" s="4">
        <f t="shared" ref="N578:N641" si="9">G578*H578</f>
        <v>3.39</v>
      </c>
      <c r="O578">
        <f>HOUR(TIMEVALUE(RetailTransactions[[#This Row],[Time]]))</f>
        <v>16</v>
      </c>
    </row>
    <row r="579" spans="1:15">
      <c r="A579" t="s">
        <v>780</v>
      </c>
      <c r="B579" s="3">
        <v>46203</v>
      </c>
      <c r="C579" t="s">
        <v>345</v>
      </c>
      <c r="D579" t="s">
        <v>22</v>
      </c>
      <c r="E579" t="s">
        <v>57</v>
      </c>
      <c r="F579" t="s">
        <v>43</v>
      </c>
      <c r="G579">
        <v>2</v>
      </c>
      <c r="H579" s="4">
        <v>1.69</v>
      </c>
      <c r="I579" t="s">
        <v>19</v>
      </c>
      <c r="J579">
        <v>24</v>
      </c>
      <c r="K579">
        <v>2</v>
      </c>
      <c r="L579">
        <v>8</v>
      </c>
      <c r="M579" s="5">
        <v>2.9</v>
      </c>
      <c r="N579" s="4">
        <f t="shared" si="9"/>
        <v>3.38</v>
      </c>
      <c r="O579">
        <f>HOUR(TIMEVALUE(RetailTransactions[[#This Row],[Time]]))</f>
        <v>18</v>
      </c>
    </row>
    <row r="580" spans="1:15">
      <c r="A580" t="s">
        <v>781</v>
      </c>
      <c r="B580" s="3">
        <v>46264</v>
      </c>
      <c r="C580" t="s">
        <v>89</v>
      </c>
      <c r="D580" t="s">
        <v>27</v>
      </c>
      <c r="E580" t="s">
        <v>120</v>
      </c>
      <c r="F580" t="s">
        <v>50</v>
      </c>
      <c r="G580">
        <v>1</v>
      </c>
      <c r="H580" s="4">
        <v>2.25</v>
      </c>
      <c r="I580" t="s">
        <v>19</v>
      </c>
      <c r="J580">
        <v>4</v>
      </c>
      <c r="K580">
        <v>0</v>
      </c>
      <c r="L580">
        <v>6</v>
      </c>
      <c r="M580" s="5">
        <v>3</v>
      </c>
      <c r="N580" s="4">
        <f t="shared" si="9"/>
        <v>2.25</v>
      </c>
      <c r="O580">
        <f>HOUR(TIMEVALUE(RetailTransactions[[#This Row],[Time]]))</f>
        <v>14</v>
      </c>
    </row>
    <row r="581" spans="1:15">
      <c r="A581" t="s">
        <v>782</v>
      </c>
      <c r="B581" s="3">
        <v>46264</v>
      </c>
      <c r="C581" t="s">
        <v>144</v>
      </c>
      <c r="D581" t="s">
        <v>27</v>
      </c>
      <c r="E581" t="s">
        <v>69</v>
      </c>
      <c r="F581" t="s">
        <v>43</v>
      </c>
      <c r="G581">
        <v>2</v>
      </c>
      <c r="H581" s="4">
        <v>1.99</v>
      </c>
      <c r="I581" t="s">
        <v>19</v>
      </c>
      <c r="J581">
        <v>35</v>
      </c>
      <c r="K581">
        <v>0</v>
      </c>
      <c r="L581">
        <v>8</v>
      </c>
      <c r="M581" s="5">
        <v>6.2</v>
      </c>
      <c r="N581" s="4">
        <f t="shared" si="9"/>
        <v>3.98</v>
      </c>
      <c r="O581">
        <f>HOUR(TIMEVALUE(RetailTransactions[[#This Row],[Time]]))</f>
        <v>17</v>
      </c>
    </row>
    <row r="582" spans="1:15">
      <c r="A582" t="s">
        <v>783</v>
      </c>
      <c r="B582" s="3">
        <v>46191</v>
      </c>
      <c r="C582" t="s">
        <v>48</v>
      </c>
      <c r="D582" t="s">
        <v>37</v>
      </c>
      <c r="E582" t="s">
        <v>125</v>
      </c>
      <c r="F582" t="s">
        <v>39</v>
      </c>
      <c r="G582">
        <v>2</v>
      </c>
      <c r="H582" s="4">
        <v>1.57</v>
      </c>
      <c r="I582" t="s">
        <v>30</v>
      </c>
      <c r="J582">
        <v>46</v>
      </c>
      <c r="K582">
        <v>0</v>
      </c>
      <c r="L582">
        <v>8</v>
      </c>
      <c r="M582" s="5">
        <v>5.2</v>
      </c>
      <c r="N582" s="4">
        <f t="shared" si="9"/>
        <v>3.14</v>
      </c>
      <c r="O582">
        <f>HOUR(TIMEVALUE(RetailTransactions[[#This Row],[Time]]))</f>
        <v>17</v>
      </c>
    </row>
    <row r="583" spans="1:15">
      <c r="A583" t="s">
        <v>784</v>
      </c>
      <c r="B583" s="3">
        <v>46243</v>
      </c>
      <c r="C583" t="s">
        <v>785</v>
      </c>
      <c r="D583" t="s">
        <v>27</v>
      </c>
      <c r="E583" t="s">
        <v>23</v>
      </c>
      <c r="F583" t="s">
        <v>24</v>
      </c>
      <c r="G583">
        <v>1</v>
      </c>
      <c r="H583" s="4">
        <v>0.95</v>
      </c>
      <c r="I583" t="s">
        <v>19</v>
      </c>
      <c r="J583">
        <v>34</v>
      </c>
      <c r="K583">
        <v>0</v>
      </c>
      <c r="L583">
        <v>7</v>
      </c>
      <c r="M583" s="5">
        <v>2.6</v>
      </c>
      <c r="N583" s="4">
        <f t="shared" si="9"/>
        <v>0.95</v>
      </c>
      <c r="O583">
        <f>HOUR(TIMEVALUE(RetailTransactions[[#This Row],[Time]]))</f>
        <v>11</v>
      </c>
    </row>
    <row r="584" spans="1:15">
      <c r="A584" t="s">
        <v>786</v>
      </c>
      <c r="B584" s="3">
        <v>46176</v>
      </c>
      <c r="C584" t="s">
        <v>156</v>
      </c>
      <c r="D584" t="s">
        <v>16</v>
      </c>
      <c r="E584" t="s">
        <v>115</v>
      </c>
      <c r="F584" t="s">
        <v>29</v>
      </c>
      <c r="G584">
        <v>1</v>
      </c>
      <c r="H584" s="4">
        <v>3.99</v>
      </c>
      <c r="I584" t="s">
        <v>19</v>
      </c>
      <c r="J584">
        <v>12</v>
      </c>
      <c r="K584">
        <v>0</v>
      </c>
      <c r="L584">
        <v>4</v>
      </c>
      <c r="M584" s="5">
        <v>4.7</v>
      </c>
      <c r="N584" s="4">
        <f t="shared" si="9"/>
        <v>3.99</v>
      </c>
      <c r="O584">
        <f>HOUR(TIMEVALUE(RetailTransactions[[#This Row],[Time]]))</f>
        <v>16</v>
      </c>
    </row>
    <row r="585" spans="1:15">
      <c r="A585" t="s">
        <v>787</v>
      </c>
      <c r="B585" s="3">
        <v>46230</v>
      </c>
      <c r="C585" t="s">
        <v>36</v>
      </c>
      <c r="D585" t="s">
        <v>33</v>
      </c>
      <c r="E585" t="s">
        <v>49</v>
      </c>
      <c r="F585" t="s">
        <v>50</v>
      </c>
      <c r="G585">
        <v>4</v>
      </c>
      <c r="H585" s="4">
        <v>3.95</v>
      </c>
      <c r="I585" t="s">
        <v>19</v>
      </c>
      <c r="J585">
        <v>45</v>
      </c>
      <c r="K585">
        <v>0</v>
      </c>
      <c r="L585">
        <v>8</v>
      </c>
      <c r="M585" s="5">
        <v>3.6</v>
      </c>
      <c r="N585" s="4">
        <f t="shared" si="9"/>
        <v>15.8</v>
      </c>
      <c r="O585">
        <f>HOUR(TIMEVALUE(RetailTransactions[[#This Row],[Time]]))</f>
        <v>12</v>
      </c>
    </row>
    <row r="586" spans="1:15">
      <c r="A586" t="s">
        <v>788</v>
      </c>
      <c r="B586" s="3">
        <v>46212</v>
      </c>
      <c r="C586" t="s">
        <v>48</v>
      </c>
      <c r="D586" t="s">
        <v>37</v>
      </c>
      <c r="E586" t="s">
        <v>34</v>
      </c>
      <c r="F586" t="s">
        <v>24</v>
      </c>
      <c r="G586">
        <v>2</v>
      </c>
      <c r="H586" s="4">
        <v>1.49</v>
      </c>
      <c r="I586" t="s">
        <v>19</v>
      </c>
      <c r="J586">
        <v>48</v>
      </c>
      <c r="K586">
        <v>0</v>
      </c>
      <c r="L586">
        <v>8</v>
      </c>
      <c r="M586" s="5">
        <v>3.4</v>
      </c>
      <c r="N586" s="4">
        <f t="shared" si="9"/>
        <v>2.98</v>
      </c>
      <c r="O586">
        <f>HOUR(TIMEVALUE(RetailTransactions[[#This Row],[Time]]))</f>
        <v>17</v>
      </c>
    </row>
    <row r="587" spans="1:15">
      <c r="A587" t="s">
        <v>789</v>
      </c>
      <c r="B587" s="3">
        <v>46216</v>
      </c>
      <c r="C587" t="s">
        <v>209</v>
      </c>
      <c r="D587" t="s">
        <v>33</v>
      </c>
      <c r="E587" t="s">
        <v>63</v>
      </c>
      <c r="F587" t="s">
        <v>50</v>
      </c>
      <c r="G587">
        <v>3</v>
      </c>
      <c r="H587" s="4">
        <v>3.49</v>
      </c>
      <c r="I587" t="s">
        <v>19</v>
      </c>
      <c r="J587">
        <v>42</v>
      </c>
      <c r="K587">
        <v>0</v>
      </c>
      <c r="L587">
        <v>7</v>
      </c>
      <c r="M587" s="5">
        <v>5.4</v>
      </c>
      <c r="N587" s="4">
        <f t="shared" si="9"/>
        <v>10.47</v>
      </c>
      <c r="O587">
        <f>HOUR(TIMEVALUE(RetailTransactions[[#This Row],[Time]]))</f>
        <v>18</v>
      </c>
    </row>
    <row r="588" spans="1:15">
      <c r="A588" t="s">
        <v>790</v>
      </c>
      <c r="B588" s="3">
        <v>46224</v>
      </c>
      <c r="C588" t="s">
        <v>15</v>
      </c>
      <c r="D588" t="s">
        <v>22</v>
      </c>
      <c r="E588" t="s">
        <v>49</v>
      </c>
      <c r="F588" t="s">
        <v>50</v>
      </c>
      <c r="G588">
        <v>2</v>
      </c>
      <c r="H588" s="4">
        <v>3.95</v>
      </c>
      <c r="I588" t="s">
        <v>19</v>
      </c>
      <c r="J588">
        <v>21</v>
      </c>
      <c r="K588">
        <v>0</v>
      </c>
      <c r="L588">
        <v>7</v>
      </c>
      <c r="M588" s="5">
        <v>2.6</v>
      </c>
      <c r="N588" s="4">
        <f t="shared" si="9"/>
        <v>7.9</v>
      </c>
      <c r="O588">
        <f>HOUR(TIMEVALUE(RetailTransactions[[#This Row],[Time]]))</f>
        <v>16</v>
      </c>
    </row>
    <row r="589" spans="1:15">
      <c r="A589" t="s">
        <v>791</v>
      </c>
      <c r="B589" s="3">
        <v>46198</v>
      </c>
      <c r="C589" t="s">
        <v>150</v>
      </c>
      <c r="D589" t="s">
        <v>37</v>
      </c>
      <c r="E589" t="s">
        <v>63</v>
      </c>
      <c r="F589" t="s">
        <v>50</v>
      </c>
      <c r="G589">
        <v>4</v>
      </c>
      <c r="H589" s="4">
        <v>3.49</v>
      </c>
      <c r="I589" t="s">
        <v>19</v>
      </c>
      <c r="J589">
        <v>50</v>
      </c>
      <c r="K589">
        <v>0</v>
      </c>
      <c r="L589">
        <v>5</v>
      </c>
      <c r="M589" s="5">
        <v>2.7</v>
      </c>
      <c r="N589" s="4">
        <f t="shared" si="9"/>
        <v>13.96</v>
      </c>
      <c r="O589">
        <f>HOUR(TIMEVALUE(RetailTransactions[[#This Row],[Time]]))</f>
        <v>14</v>
      </c>
    </row>
    <row r="590" spans="1:15">
      <c r="A590" t="s">
        <v>792</v>
      </c>
      <c r="B590" s="3">
        <v>46226</v>
      </c>
      <c r="C590" t="s">
        <v>114</v>
      </c>
      <c r="D590" t="s">
        <v>37</v>
      </c>
      <c r="E590" t="s">
        <v>42</v>
      </c>
      <c r="F590" t="s">
        <v>43</v>
      </c>
      <c r="G590">
        <v>2</v>
      </c>
      <c r="H590" s="4">
        <v>1.39</v>
      </c>
      <c r="I590" t="s">
        <v>19</v>
      </c>
      <c r="J590">
        <v>50</v>
      </c>
      <c r="K590">
        <v>1</v>
      </c>
      <c r="L590">
        <v>9</v>
      </c>
      <c r="M590" s="5">
        <v>3.5</v>
      </c>
      <c r="N590" s="4">
        <f t="shared" si="9"/>
        <v>2.78</v>
      </c>
      <c r="O590">
        <f>HOUR(TIMEVALUE(RetailTransactions[[#This Row],[Time]]))</f>
        <v>17</v>
      </c>
    </row>
    <row r="591" spans="1:15">
      <c r="A591" t="s">
        <v>793</v>
      </c>
      <c r="B591" s="3">
        <v>46181</v>
      </c>
      <c r="C591" t="s">
        <v>110</v>
      </c>
      <c r="D591" t="s">
        <v>33</v>
      </c>
      <c r="E591" t="s">
        <v>69</v>
      </c>
      <c r="F591" t="s">
        <v>43</v>
      </c>
      <c r="G591">
        <v>1</v>
      </c>
      <c r="H591" s="4">
        <v>1.69</v>
      </c>
      <c r="I591" t="s">
        <v>30</v>
      </c>
      <c r="J591">
        <v>39</v>
      </c>
      <c r="K591">
        <v>0</v>
      </c>
      <c r="L591">
        <v>6</v>
      </c>
      <c r="M591" s="5">
        <v>5.9</v>
      </c>
      <c r="N591" s="4">
        <f t="shared" si="9"/>
        <v>1.69</v>
      </c>
      <c r="O591">
        <f>HOUR(TIMEVALUE(RetailTransactions[[#This Row],[Time]]))</f>
        <v>17</v>
      </c>
    </row>
    <row r="592" spans="1:15">
      <c r="A592" t="s">
        <v>794</v>
      </c>
      <c r="B592" s="3">
        <v>46251</v>
      </c>
      <c r="C592" t="s">
        <v>59</v>
      </c>
      <c r="D592" t="s">
        <v>33</v>
      </c>
      <c r="E592" t="s">
        <v>106</v>
      </c>
      <c r="F592" t="s">
        <v>18</v>
      </c>
      <c r="G592">
        <v>1</v>
      </c>
      <c r="H592" s="4">
        <v>1.89</v>
      </c>
      <c r="I592" t="s">
        <v>19</v>
      </c>
      <c r="J592">
        <v>28</v>
      </c>
      <c r="K592">
        <v>0</v>
      </c>
      <c r="L592">
        <v>7</v>
      </c>
      <c r="M592" s="5">
        <v>6.6</v>
      </c>
      <c r="N592" s="4">
        <f t="shared" si="9"/>
        <v>1.89</v>
      </c>
      <c r="O592">
        <f>HOUR(TIMEVALUE(RetailTransactions[[#This Row],[Time]]))</f>
        <v>12</v>
      </c>
    </row>
    <row r="593" spans="1:15">
      <c r="A593" t="s">
        <v>795</v>
      </c>
      <c r="B593" s="3">
        <v>46228</v>
      </c>
      <c r="C593" t="s">
        <v>117</v>
      </c>
      <c r="D593" t="s">
        <v>66</v>
      </c>
      <c r="E593" t="s">
        <v>46</v>
      </c>
      <c r="F593" t="s">
        <v>24</v>
      </c>
      <c r="G593">
        <v>3</v>
      </c>
      <c r="H593" s="4">
        <v>1.79</v>
      </c>
      <c r="I593" t="s">
        <v>19</v>
      </c>
      <c r="J593">
        <v>41</v>
      </c>
      <c r="K593">
        <v>0</v>
      </c>
      <c r="L593">
        <v>6</v>
      </c>
      <c r="M593" s="5">
        <v>5.6</v>
      </c>
      <c r="N593" s="4">
        <f t="shared" si="9"/>
        <v>5.37</v>
      </c>
      <c r="O593">
        <f>HOUR(TIMEVALUE(RetailTransactions[[#This Row],[Time]]))</f>
        <v>18</v>
      </c>
    </row>
    <row r="594" spans="1:15">
      <c r="A594" t="s">
        <v>796</v>
      </c>
      <c r="B594" s="3">
        <v>46183</v>
      </c>
      <c r="C594" t="s">
        <v>21</v>
      </c>
      <c r="D594" t="s">
        <v>16</v>
      </c>
      <c r="E594" t="s">
        <v>78</v>
      </c>
      <c r="F594" t="s">
        <v>39</v>
      </c>
      <c r="G594">
        <v>1</v>
      </c>
      <c r="H594" s="4">
        <v>1.55</v>
      </c>
      <c r="I594" t="s">
        <v>19</v>
      </c>
      <c r="J594">
        <v>54</v>
      </c>
      <c r="K594">
        <v>0</v>
      </c>
      <c r="L594">
        <v>5</v>
      </c>
      <c r="M594" s="5">
        <v>3.9</v>
      </c>
      <c r="N594" s="4">
        <f t="shared" si="9"/>
        <v>1.55</v>
      </c>
      <c r="O594">
        <f>HOUR(TIMEVALUE(RetailTransactions[[#This Row],[Time]]))</f>
        <v>16</v>
      </c>
    </row>
    <row r="595" spans="1:15">
      <c r="A595" t="s">
        <v>797</v>
      </c>
      <c r="B595" s="3">
        <v>46256</v>
      </c>
      <c r="C595" t="s">
        <v>15</v>
      </c>
      <c r="D595" t="s">
        <v>66</v>
      </c>
      <c r="E595" t="s">
        <v>78</v>
      </c>
      <c r="F595" t="s">
        <v>39</v>
      </c>
      <c r="G595">
        <v>1</v>
      </c>
      <c r="H595" s="4">
        <v>1.32</v>
      </c>
      <c r="I595" t="s">
        <v>30</v>
      </c>
      <c r="J595">
        <v>13</v>
      </c>
      <c r="K595">
        <v>0</v>
      </c>
      <c r="L595">
        <v>7</v>
      </c>
      <c r="M595" s="5">
        <v>2.6</v>
      </c>
      <c r="N595" s="4">
        <f t="shared" si="9"/>
        <v>1.32</v>
      </c>
      <c r="O595">
        <f>HOUR(TIMEVALUE(RetailTransactions[[#This Row],[Time]]))</f>
        <v>16</v>
      </c>
    </row>
    <row r="596" spans="1:15">
      <c r="A596" t="s">
        <v>798</v>
      </c>
      <c r="B596" s="3">
        <v>46216</v>
      </c>
      <c r="C596" t="s">
        <v>672</v>
      </c>
      <c r="D596" t="s">
        <v>33</v>
      </c>
      <c r="E596" t="s">
        <v>106</v>
      </c>
      <c r="F596" t="s">
        <v>18</v>
      </c>
      <c r="G596">
        <v>1</v>
      </c>
      <c r="H596" s="4">
        <v>1.61</v>
      </c>
      <c r="I596" t="s">
        <v>30</v>
      </c>
      <c r="J596">
        <v>12</v>
      </c>
      <c r="K596">
        <v>0</v>
      </c>
      <c r="L596">
        <v>7</v>
      </c>
      <c r="M596" s="5">
        <v>2.4</v>
      </c>
      <c r="N596" s="4">
        <f t="shared" si="9"/>
        <v>1.61</v>
      </c>
      <c r="O596">
        <f>HOUR(TIMEVALUE(RetailTransactions[[#This Row],[Time]]))</f>
        <v>16</v>
      </c>
    </row>
    <row r="597" spans="1:15">
      <c r="A597" t="s">
        <v>799</v>
      </c>
      <c r="B597" s="3">
        <v>46260</v>
      </c>
      <c r="C597" t="s">
        <v>119</v>
      </c>
      <c r="D597" t="s">
        <v>16</v>
      </c>
      <c r="E597" t="s">
        <v>23</v>
      </c>
      <c r="F597" t="s">
        <v>24</v>
      </c>
      <c r="G597">
        <v>1</v>
      </c>
      <c r="H597" s="4">
        <v>0.81</v>
      </c>
      <c r="I597" t="s">
        <v>30</v>
      </c>
      <c r="J597">
        <v>54</v>
      </c>
      <c r="K597">
        <v>0</v>
      </c>
      <c r="L597">
        <v>6</v>
      </c>
      <c r="M597" s="5">
        <v>1.7</v>
      </c>
      <c r="N597" s="4">
        <f t="shared" si="9"/>
        <v>0.81</v>
      </c>
      <c r="O597">
        <f>HOUR(TIMEVALUE(RetailTransactions[[#This Row],[Time]]))</f>
        <v>10</v>
      </c>
    </row>
    <row r="598" spans="1:15">
      <c r="A598" t="s">
        <v>800</v>
      </c>
      <c r="B598" s="3">
        <v>46176</v>
      </c>
      <c r="C598" t="s">
        <v>207</v>
      </c>
      <c r="D598" t="s">
        <v>16</v>
      </c>
      <c r="E598" t="s">
        <v>17</v>
      </c>
      <c r="F598" t="s">
        <v>18</v>
      </c>
      <c r="G598">
        <v>1</v>
      </c>
      <c r="H598" s="4">
        <v>1.49</v>
      </c>
      <c r="I598" t="s">
        <v>30</v>
      </c>
      <c r="J598">
        <v>53</v>
      </c>
      <c r="K598">
        <v>0</v>
      </c>
      <c r="L598">
        <v>6</v>
      </c>
      <c r="M598" s="5">
        <v>1.6</v>
      </c>
      <c r="N598" s="4">
        <f t="shared" si="9"/>
        <v>1.49</v>
      </c>
      <c r="O598">
        <f>HOUR(TIMEVALUE(RetailTransactions[[#This Row],[Time]]))</f>
        <v>16</v>
      </c>
    </row>
    <row r="599" spans="1:15">
      <c r="A599" t="s">
        <v>801</v>
      </c>
      <c r="B599" s="3">
        <v>46231</v>
      </c>
      <c r="C599" t="s">
        <v>84</v>
      </c>
      <c r="D599" t="s">
        <v>22</v>
      </c>
      <c r="E599" t="s">
        <v>34</v>
      </c>
      <c r="F599" t="s">
        <v>24</v>
      </c>
      <c r="G599">
        <v>2</v>
      </c>
      <c r="H599" s="4">
        <v>1.49</v>
      </c>
      <c r="I599" t="s">
        <v>19</v>
      </c>
      <c r="J599">
        <v>40</v>
      </c>
      <c r="K599">
        <v>2</v>
      </c>
      <c r="L599">
        <v>6</v>
      </c>
      <c r="M599" s="5">
        <v>2.8</v>
      </c>
      <c r="N599" s="4">
        <f t="shared" si="9"/>
        <v>2.98</v>
      </c>
      <c r="O599">
        <f>HOUR(TIMEVALUE(RetailTransactions[[#This Row],[Time]]))</f>
        <v>14</v>
      </c>
    </row>
    <row r="600" spans="1:15">
      <c r="A600" t="s">
        <v>802</v>
      </c>
      <c r="B600" s="3">
        <v>46192</v>
      </c>
      <c r="C600" t="s">
        <v>84</v>
      </c>
      <c r="D600" t="s">
        <v>72</v>
      </c>
      <c r="E600" t="s">
        <v>120</v>
      </c>
      <c r="F600" t="s">
        <v>50</v>
      </c>
      <c r="G600">
        <v>2</v>
      </c>
      <c r="H600" s="4">
        <v>2.25</v>
      </c>
      <c r="I600" t="s">
        <v>19</v>
      </c>
      <c r="J600">
        <v>25</v>
      </c>
      <c r="K600">
        <v>0</v>
      </c>
      <c r="L600">
        <v>5</v>
      </c>
      <c r="M600" s="5">
        <v>4.5</v>
      </c>
      <c r="N600" s="4">
        <f t="shared" si="9"/>
        <v>4.5</v>
      </c>
      <c r="O600">
        <f>HOUR(TIMEVALUE(RetailTransactions[[#This Row],[Time]]))</f>
        <v>14</v>
      </c>
    </row>
    <row r="601" spans="1:15">
      <c r="A601" t="s">
        <v>803</v>
      </c>
      <c r="B601" s="3">
        <v>46203</v>
      </c>
      <c r="C601" t="s">
        <v>305</v>
      </c>
      <c r="D601" t="s">
        <v>22</v>
      </c>
      <c r="E601" t="s">
        <v>63</v>
      </c>
      <c r="F601" t="s">
        <v>50</v>
      </c>
      <c r="G601">
        <v>3</v>
      </c>
      <c r="H601" s="4">
        <v>2.97</v>
      </c>
      <c r="I601" t="s">
        <v>30</v>
      </c>
      <c r="J601">
        <v>10</v>
      </c>
      <c r="K601">
        <v>0</v>
      </c>
      <c r="L601">
        <v>6</v>
      </c>
      <c r="M601" s="5">
        <v>4.8</v>
      </c>
      <c r="N601" s="4">
        <f t="shared" si="9"/>
        <v>8.91</v>
      </c>
      <c r="O601">
        <f>HOUR(TIMEVALUE(RetailTransactions[[#This Row],[Time]]))</f>
        <v>13</v>
      </c>
    </row>
    <row r="602" spans="1:15">
      <c r="A602" t="s">
        <v>804</v>
      </c>
      <c r="B602" s="3">
        <v>46236</v>
      </c>
      <c r="C602" t="s">
        <v>36</v>
      </c>
      <c r="D602" t="s">
        <v>27</v>
      </c>
      <c r="E602" t="s">
        <v>78</v>
      </c>
      <c r="F602" t="s">
        <v>39</v>
      </c>
      <c r="G602">
        <v>2</v>
      </c>
      <c r="H602" s="4">
        <v>1.55</v>
      </c>
      <c r="I602" t="s">
        <v>19</v>
      </c>
      <c r="J602">
        <v>21</v>
      </c>
      <c r="K602">
        <v>0</v>
      </c>
      <c r="L602">
        <v>9</v>
      </c>
      <c r="M602" s="5">
        <v>4.7</v>
      </c>
      <c r="N602" s="4">
        <f t="shared" si="9"/>
        <v>3.1</v>
      </c>
      <c r="O602">
        <f>HOUR(TIMEVALUE(RetailTransactions[[#This Row],[Time]]))</f>
        <v>12</v>
      </c>
    </row>
    <row r="603" spans="1:15">
      <c r="A603" t="s">
        <v>805</v>
      </c>
      <c r="B603" s="3">
        <v>46247</v>
      </c>
      <c r="C603" t="s">
        <v>36</v>
      </c>
      <c r="D603" t="s">
        <v>37</v>
      </c>
      <c r="E603" t="s">
        <v>49</v>
      </c>
      <c r="F603" t="s">
        <v>50</v>
      </c>
      <c r="G603">
        <v>1</v>
      </c>
      <c r="H603" s="4">
        <v>3.95</v>
      </c>
      <c r="I603" t="s">
        <v>19</v>
      </c>
      <c r="J603">
        <v>48</v>
      </c>
      <c r="K603">
        <v>0</v>
      </c>
      <c r="L603">
        <v>6</v>
      </c>
      <c r="M603" s="5">
        <v>4.5999999999999996</v>
      </c>
      <c r="N603" s="4">
        <f t="shared" si="9"/>
        <v>3.95</v>
      </c>
      <c r="O603">
        <f>HOUR(TIMEVALUE(RetailTransactions[[#This Row],[Time]]))</f>
        <v>12</v>
      </c>
    </row>
    <row r="604" spans="1:15">
      <c r="A604" t="s">
        <v>806</v>
      </c>
      <c r="B604" s="3">
        <v>46260</v>
      </c>
      <c r="C604" t="s">
        <v>74</v>
      </c>
      <c r="D604" t="s">
        <v>16</v>
      </c>
      <c r="E604" t="s">
        <v>115</v>
      </c>
      <c r="F604" t="s">
        <v>29</v>
      </c>
      <c r="G604">
        <v>2</v>
      </c>
      <c r="H604" s="4">
        <v>3.99</v>
      </c>
      <c r="I604" t="s">
        <v>19</v>
      </c>
      <c r="J604">
        <v>36</v>
      </c>
      <c r="K604">
        <v>0</v>
      </c>
      <c r="L604">
        <v>7</v>
      </c>
      <c r="M604" s="5">
        <v>2.7</v>
      </c>
      <c r="N604" s="4">
        <f t="shared" si="9"/>
        <v>7.98</v>
      </c>
      <c r="O604">
        <f>HOUR(TIMEVALUE(RetailTransactions[[#This Row],[Time]]))</f>
        <v>10</v>
      </c>
    </row>
    <row r="605" spans="1:15">
      <c r="A605" t="s">
        <v>807</v>
      </c>
      <c r="B605" s="3">
        <v>46219</v>
      </c>
      <c r="C605" t="s">
        <v>48</v>
      </c>
      <c r="D605" t="s">
        <v>37</v>
      </c>
      <c r="E605" t="s">
        <v>60</v>
      </c>
      <c r="F605" t="s">
        <v>29</v>
      </c>
      <c r="G605">
        <v>1</v>
      </c>
      <c r="H605" s="4">
        <v>2.29</v>
      </c>
      <c r="I605" t="s">
        <v>30</v>
      </c>
      <c r="J605">
        <v>44</v>
      </c>
      <c r="K605">
        <v>0</v>
      </c>
      <c r="L605">
        <v>9</v>
      </c>
      <c r="M605" s="5">
        <v>3.8</v>
      </c>
      <c r="N605" s="4">
        <f t="shared" si="9"/>
        <v>2.29</v>
      </c>
      <c r="O605">
        <f>HOUR(TIMEVALUE(RetailTransactions[[#This Row],[Time]]))</f>
        <v>17</v>
      </c>
    </row>
    <row r="606" spans="1:15">
      <c r="A606" t="s">
        <v>808</v>
      </c>
      <c r="B606" s="3">
        <v>46198</v>
      </c>
      <c r="C606" t="s">
        <v>362</v>
      </c>
      <c r="D606" t="s">
        <v>37</v>
      </c>
      <c r="E606" t="s">
        <v>17</v>
      </c>
      <c r="F606" t="s">
        <v>18</v>
      </c>
      <c r="G606">
        <v>4</v>
      </c>
      <c r="H606" s="4">
        <v>1.75</v>
      </c>
      <c r="I606" t="s">
        <v>19</v>
      </c>
      <c r="J606">
        <v>41</v>
      </c>
      <c r="K606">
        <v>0</v>
      </c>
      <c r="L606">
        <v>6</v>
      </c>
      <c r="M606" s="5">
        <v>5</v>
      </c>
      <c r="N606" s="4">
        <f t="shared" si="9"/>
        <v>7</v>
      </c>
      <c r="O606">
        <f>HOUR(TIMEVALUE(RetailTransactions[[#This Row],[Time]]))</f>
        <v>17</v>
      </c>
    </row>
    <row r="607" spans="1:15">
      <c r="A607" t="s">
        <v>809</v>
      </c>
      <c r="B607" s="3">
        <v>46183</v>
      </c>
      <c r="C607" t="s">
        <v>244</v>
      </c>
      <c r="D607" t="s">
        <v>16</v>
      </c>
      <c r="E607" t="s">
        <v>17</v>
      </c>
      <c r="F607" t="s">
        <v>18</v>
      </c>
      <c r="G607">
        <v>2</v>
      </c>
      <c r="H607" s="4">
        <v>1.75</v>
      </c>
      <c r="I607" t="s">
        <v>19</v>
      </c>
      <c r="J607">
        <v>43</v>
      </c>
      <c r="K607">
        <v>0</v>
      </c>
      <c r="L607">
        <v>5</v>
      </c>
      <c r="M607" s="5">
        <v>3.1</v>
      </c>
      <c r="N607" s="4">
        <f t="shared" si="9"/>
        <v>3.5</v>
      </c>
      <c r="O607">
        <f>HOUR(TIMEVALUE(RetailTransactions[[#This Row],[Time]]))</f>
        <v>14</v>
      </c>
    </row>
    <row r="608" spans="1:15">
      <c r="A608" t="s">
        <v>810</v>
      </c>
      <c r="B608" s="3">
        <v>46219</v>
      </c>
      <c r="C608" t="s">
        <v>181</v>
      </c>
      <c r="D608" t="s">
        <v>37</v>
      </c>
      <c r="E608" t="s">
        <v>49</v>
      </c>
      <c r="F608" t="s">
        <v>50</v>
      </c>
      <c r="G608">
        <v>1</v>
      </c>
      <c r="H608" s="4">
        <v>3.95</v>
      </c>
      <c r="I608" t="s">
        <v>19</v>
      </c>
      <c r="J608">
        <v>33</v>
      </c>
      <c r="K608">
        <v>1</v>
      </c>
      <c r="L608">
        <v>6</v>
      </c>
      <c r="M608" s="5">
        <v>1.8</v>
      </c>
      <c r="N608" s="4">
        <f t="shared" si="9"/>
        <v>3.95</v>
      </c>
      <c r="O608">
        <f>HOUR(TIMEVALUE(RetailTransactions[[#This Row],[Time]]))</f>
        <v>9</v>
      </c>
    </row>
    <row r="609" spans="1:15">
      <c r="A609" t="s">
        <v>811</v>
      </c>
      <c r="B609" s="3">
        <v>46220</v>
      </c>
      <c r="C609" t="s">
        <v>144</v>
      </c>
      <c r="D609" t="s">
        <v>72</v>
      </c>
      <c r="E609" t="s">
        <v>17</v>
      </c>
      <c r="F609" t="s">
        <v>18</v>
      </c>
      <c r="G609">
        <v>1</v>
      </c>
      <c r="H609" s="4">
        <v>1.75</v>
      </c>
      <c r="I609" t="s">
        <v>19</v>
      </c>
      <c r="J609">
        <v>39</v>
      </c>
      <c r="K609">
        <v>1</v>
      </c>
      <c r="L609">
        <v>7</v>
      </c>
      <c r="M609" s="5">
        <v>3.9</v>
      </c>
      <c r="N609" s="4">
        <f t="shared" si="9"/>
        <v>1.75</v>
      </c>
      <c r="O609">
        <f>HOUR(TIMEVALUE(RetailTransactions[[#This Row],[Time]]))</f>
        <v>17</v>
      </c>
    </row>
    <row r="610" spans="1:15">
      <c r="A610" t="s">
        <v>812</v>
      </c>
      <c r="B610" s="3">
        <v>46239</v>
      </c>
      <c r="C610" t="s">
        <v>130</v>
      </c>
      <c r="D610" t="s">
        <v>16</v>
      </c>
      <c r="E610" t="s">
        <v>78</v>
      </c>
      <c r="F610" t="s">
        <v>39</v>
      </c>
      <c r="G610">
        <v>1</v>
      </c>
      <c r="H610" s="4">
        <v>1.32</v>
      </c>
      <c r="I610" t="s">
        <v>30</v>
      </c>
      <c r="J610">
        <v>10</v>
      </c>
      <c r="K610">
        <v>0</v>
      </c>
      <c r="L610">
        <v>8</v>
      </c>
      <c r="M610" s="5">
        <v>4.8</v>
      </c>
      <c r="N610" s="4">
        <f t="shared" si="9"/>
        <v>1.32</v>
      </c>
      <c r="O610">
        <f>HOUR(TIMEVALUE(RetailTransactions[[#This Row],[Time]]))</f>
        <v>19</v>
      </c>
    </row>
    <row r="611" spans="1:15">
      <c r="A611" t="s">
        <v>813</v>
      </c>
      <c r="B611" s="3">
        <v>46243</v>
      </c>
      <c r="C611" t="s">
        <v>48</v>
      </c>
      <c r="D611" t="s">
        <v>27</v>
      </c>
      <c r="E611" t="s">
        <v>125</v>
      </c>
      <c r="F611" t="s">
        <v>39</v>
      </c>
      <c r="G611">
        <v>1</v>
      </c>
      <c r="H611" s="4">
        <v>1.85</v>
      </c>
      <c r="I611" t="s">
        <v>19</v>
      </c>
      <c r="J611">
        <v>18</v>
      </c>
      <c r="K611">
        <v>0</v>
      </c>
      <c r="L611">
        <v>7</v>
      </c>
      <c r="M611" s="5">
        <v>4.5999999999999996</v>
      </c>
      <c r="N611" s="4">
        <f t="shared" si="9"/>
        <v>1.85</v>
      </c>
      <c r="O611">
        <f>HOUR(TIMEVALUE(RetailTransactions[[#This Row],[Time]]))</f>
        <v>17</v>
      </c>
    </row>
    <row r="612" spans="1:15">
      <c r="A612" t="s">
        <v>814</v>
      </c>
      <c r="B612" s="3">
        <v>46187</v>
      </c>
      <c r="C612" t="s">
        <v>77</v>
      </c>
      <c r="D612" t="s">
        <v>27</v>
      </c>
      <c r="E612" t="s">
        <v>115</v>
      </c>
      <c r="F612" t="s">
        <v>29</v>
      </c>
      <c r="G612">
        <v>1</v>
      </c>
      <c r="H612" s="4">
        <v>3.99</v>
      </c>
      <c r="I612" t="s">
        <v>19</v>
      </c>
      <c r="J612">
        <v>6</v>
      </c>
      <c r="K612">
        <v>0</v>
      </c>
      <c r="L612">
        <v>6</v>
      </c>
      <c r="M612" s="5">
        <v>5.0999999999999996</v>
      </c>
      <c r="N612" s="4">
        <f t="shared" si="9"/>
        <v>3.99</v>
      </c>
      <c r="O612">
        <f>HOUR(TIMEVALUE(RetailTransactions[[#This Row],[Time]]))</f>
        <v>12</v>
      </c>
    </row>
    <row r="613" spans="1:15">
      <c r="A613" t="s">
        <v>815</v>
      </c>
      <c r="B613" s="3">
        <v>46203</v>
      </c>
      <c r="C613" t="s">
        <v>170</v>
      </c>
      <c r="D613" t="s">
        <v>22</v>
      </c>
      <c r="E613" t="s">
        <v>106</v>
      </c>
      <c r="F613" t="s">
        <v>18</v>
      </c>
      <c r="G613">
        <v>2</v>
      </c>
      <c r="H613" s="4">
        <v>1.89</v>
      </c>
      <c r="I613" t="s">
        <v>19</v>
      </c>
      <c r="J613">
        <v>4</v>
      </c>
      <c r="K613">
        <v>0</v>
      </c>
      <c r="L613">
        <v>6</v>
      </c>
      <c r="M613" s="5">
        <v>4.2</v>
      </c>
      <c r="N613" s="4">
        <f t="shared" si="9"/>
        <v>3.78</v>
      </c>
      <c r="O613">
        <f>HOUR(TIMEVALUE(RetailTransactions[[#This Row],[Time]]))</f>
        <v>13</v>
      </c>
    </row>
    <row r="614" spans="1:15">
      <c r="A614" t="s">
        <v>816</v>
      </c>
      <c r="B614" s="3">
        <v>46218</v>
      </c>
      <c r="C614" t="s">
        <v>62</v>
      </c>
      <c r="D614" t="s">
        <v>16</v>
      </c>
      <c r="E614" t="s">
        <v>63</v>
      </c>
      <c r="F614" t="s">
        <v>50</v>
      </c>
      <c r="G614">
        <v>1</v>
      </c>
      <c r="H614" s="4">
        <v>3.49</v>
      </c>
      <c r="I614" t="s">
        <v>19</v>
      </c>
      <c r="J614">
        <v>16</v>
      </c>
      <c r="K614">
        <v>0</v>
      </c>
      <c r="L614">
        <v>9</v>
      </c>
      <c r="M614" s="5">
        <v>4.4000000000000004</v>
      </c>
      <c r="N614" s="4">
        <f t="shared" si="9"/>
        <v>3.49</v>
      </c>
      <c r="O614">
        <f>HOUR(TIMEVALUE(RetailTransactions[[#This Row],[Time]]))</f>
        <v>18</v>
      </c>
    </row>
    <row r="615" spans="1:15">
      <c r="A615" t="s">
        <v>817</v>
      </c>
      <c r="B615" s="3">
        <v>46181</v>
      </c>
      <c r="C615" t="s">
        <v>567</v>
      </c>
      <c r="D615" t="s">
        <v>33</v>
      </c>
      <c r="E615" t="s">
        <v>85</v>
      </c>
      <c r="F615" t="s">
        <v>18</v>
      </c>
      <c r="G615">
        <v>1</v>
      </c>
      <c r="H615" s="4">
        <v>2.4900000000000002</v>
      </c>
      <c r="I615" t="s">
        <v>19</v>
      </c>
      <c r="J615">
        <v>40</v>
      </c>
      <c r="K615">
        <v>0</v>
      </c>
      <c r="L615">
        <v>5</v>
      </c>
      <c r="M615" s="5">
        <v>3.7</v>
      </c>
      <c r="N615" s="4">
        <f t="shared" si="9"/>
        <v>2.4900000000000002</v>
      </c>
      <c r="O615">
        <f>HOUR(TIMEVALUE(RetailTransactions[[#This Row],[Time]]))</f>
        <v>9</v>
      </c>
    </row>
    <row r="616" spans="1:15">
      <c r="A616" t="s">
        <v>818</v>
      </c>
      <c r="B616" s="3">
        <v>46245</v>
      </c>
      <c r="C616" t="s">
        <v>819</v>
      </c>
      <c r="D616" t="s">
        <v>22</v>
      </c>
      <c r="E616" t="s">
        <v>38</v>
      </c>
      <c r="F616" t="s">
        <v>39</v>
      </c>
      <c r="G616">
        <v>2</v>
      </c>
      <c r="H616" s="4">
        <v>2.79</v>
      </c>
      <c r="I616" t="s">
        <v>19</v>
      </c>
      <c r="J616">
        <v>25</v>
      </c>
      <c r="K616">
        <v>1</v>
      </c>
      <c r="L616">
        <v>6</v>
      </c>
      <c r="M616" s="5">
        <v>2.4</v>
      </c>
      <c r="N616" s="4">
        <f t="shared" si="9"/>
        <v>5.58</v>
      </c>
      <c r="O616">
        <f>HOUR(TIMEVALUE(RetailTransactions[[#This Row],[Time]]))</f>
        <v>9</v>
      </c>
    </row>
    <row r="617" spans="1:15">
      <c r="A617" t="s">
        <v>820</v>
      </c>
      <c r="B617" s="3">
        <v>46263</v>
      </c>
      <c r="C617" t="s">
        <v>150</v>
      </c>
      <c r="D617" t="s">
        <v>66</v>
      </c>
      <c r="E617" t="s">
        <v>28</v>
      </c>
      <c r="F617" t="s">
        <v>29</v>
      </c>
      <c r="G617">
        <v>1</v>
      </c>
      <c r="H617" s="4">
        <v>3.29</v>
      </c>
      <c r="I617" t="s">
        <v>19</v>
      </c>
      <c r="J617">
        <v>8</v>
      </c>
      <c r="K617">
        <v>0</v>
      </c>
      <c r="L617">
        <v>5</v>
      </c>
      <c r="M617" s="5">
        <v>4.5</v>
      </c>
      <c r="N617" s="4">
        <f t="shared" si="9"/>
        <v>3.29</v>
      </c>
      <c r="O617">
        <f>HOUR(TIMEVALUE(RetailTransactions[[#This Row],[Time]]))</f>
        <v>14</v>
      </c>
    </row>
    <row r="618" spans="1:15">
      <c r="A618" t="s">
        <v>821</v>
      </c>
      <c r="B618" s="3">
        <v>46238</v>
      </c>
      <c r="C618" t="s">
        <v>21</v>
      </c>
      <c r="D618" t="s">
        <v>22</v>
      </c>
      <c r="E618" t="s">
        <v>34</v>
      </c>
      <c r="F618" t="s">
        <v>24</v>
      </c>
      <c r="G618">
        <v>1</v>
      </c>
      <c r="H618" s="4">
        <v>1.49</v>
      </c>
      <c r="I618" t="s">
        <v>19</v>
      </c>
      <c r="J618">
        <v>59</v>
      </c>
      <c r="K618">
        <v>2</v>
      </c>
      <c r="L618">
        <v>6</v>
      </c>
      <c r="M618" s="5">
        <v>2.4</v>
      </c>
      <c r="N618" s="4">
        <f t="shared" si="9"/>
        <v>1.49</v>
      </c>
      <c r="O618">
        <f>HOUR(TIMEVALUE(RetailTransactions[[#This Row],[Time]]))</f>
        <v>16</v>
      </c>
    </row>
    <row r="619" spans="1:15">
      <c r="A619" t="s">
        <v>822</v>
      </c>
      <c r="B619" s="3">
        <v>46264</v>
      </c>
      <c r="C619" t="s">
        <v>823</v>
      </c>
      <c r="D619" t="s">
        <v>27</v>
      </c>
      <c r="E619" t="s">
        <v>28</v>
      </c>
      <c r="F619" t="s">
        <v>29</v>
      </c>
      <c r="G619">
        <v>1</v>
      </c>
      <c r="H619" s="4">
        <v>3.29</v>
      </c>
      <c r="I619" t="s">
        <v>19</v>
      </c>
      <c r="J619">
        <v>55</v>
      </c>
      <c r="K619">
        <v>0</v>
      </c>
      <c r="L619">
        <v>5</v>
      </c>
      <c r="M619" s="5">
        <v>3.3</v>
      </c>
      <c r="N619" s="4">
        <f t="shared" si="9"/>
        <v>3.29</v>
      </c>
      <c r="O619">
        <f>HOUR(TIMEVALUE(RetailTransactions[[#This Row],[Time]]))</f>
        <v>20</v>
      </c>
    </row>
    <row r="620" spans="1:15">
      <c r="A620" t="s">
        <v>824</v>
      </c>
      <c r="B620" s="3">
        <v>46231</v>
      </c>
      <c r="C620" t="s">
        <v>433</v>
      </c>
      <c r="D620" t="s">
        <v>22</v>
      </c>
      <c r="E620" t="s">
        <v>23</v>
      </c>
      <c r="F620" t="s">
        <v>24</v>
      </c>
      <c r="G620">
        <v>2</v>
      </c>
      <c r="H620" s="4">
        <v>0.81</v>
      </c>
      <c r="I620" t="s">
        <v>30</v>
      </c>
      <c r="J620">
        <v>41</v>
      </c>
      <c r="K620">
        <v>0</v>
      </c>
      <c r="L620">
        <v>4</v>
      </c>
      <c r="M620" s="5">
        <v>4</v>
      </c>
      <c r="N620" s="4">
        <f t="shared" si="9"/>
        <v>1.62</v>
      </c>
      <c r="O620">
        <f>HOUR(TIMEVALUE(RetailTransactions[[#This Row],[Time]]))</f>
        <v>20</v>
      </c>
    </row>
    <row r="621" spans="1:15">
      <c r="A621" t="s">
        <v>825</v>
      </c>
      <c r="B621" s="3">
        <v>46204</v>
      </c>
      <c r="C621" t="s">
        <v>221</v>
      </c>
      <c r="D621" t="s">
        <v>16</v>
      </c>
      <c r="E621" t="s">
        <v>17</v>
      </c>
      <c r="F621" t="s">
        <v>18</v>
      </c>
      <c r="G621">
        <v>3</v>
      </c>
      <c r="H621" s="4">
        <v>1.75</v>
      </c>
      <c r="I621" t="s">
        <v>19</v>
      </c>
      <c r="J621">
        <v>25</v>
      </c>
      <c r="K621">
        <v>0</v>
      </c>
      <c r="L621">
        <v>5</v>
      </c>
      <c r="M621" s="5">
        <v>3.1</v>
      </c>
      <c r="N621" s="4">
        <f t="shared" si="9"/>
        <v>5.25</v>
      </c>
      <c r="O621">
        <f>HOUR(TIMEVALUE(RetailTransactions[[#This Row],[Time]]))</f>
        <v>15</v>
      </c>
    </row>
    <row r="622" spans="1:15">
      <c r="A622" t="s">
        <v>826</v>
      </c>
      <c r="B622" s="3">
        <v>46184</v>
      </c>
      <c r="C622" t="s">
        <v>275</v>
      </c>
      <c r="D622" t="s">
        <v>37</v>
      </c>
      <c r="E622" t="s">
        <v>125</v>
      </c>
      <c r="F622" t="s">
        <v>39</v>
      </c>
      <c r="G622">
        <v>2</v>
      </c>
      <c r="H622" s="4">
        <v>1.85</v>
      </c>
      <c r="I622" t="s">
        <v>19</v>
      </c>
      <c r="J622">
        <v>56</v>
      </c>
      <c r="K622">
        <v>0</v>
      </c>
      <c r="L622">
        <v>4</v>
      </c>
      <c r="M622" s="5">
        <v>4.3</v>
      </c>
      <c r="N622" s="4">
        <f t="shared" si="9"/>
        <v>3.7</v>
      </c>
      <c r="O622">
        <f>HOUR(TIMEVALUE(RetailTransactions[[#This Row],[Time]]))</f>
        <v>14</v>
      </c>
    </row>
    <row r="623" spans="1:15">
      <c r="A623" t="s">
        <v>827</v>
      </c>
      <c r="B623" s="3">
        <v>46175</v>
      </c>
      <c r="C623" t="s">
        <v>440</v>
      </c>
      <c r="D623" t="s">
        <v>22</v>
      </c>
      <c r="E623" t="s">
        <v>120</v>
      </c>
      <c r="F623" t="s">
        <v>50</v>
      </c>
      <c r="G623">
        <v>1</v>
      </c>
      <c r="H623" s="4">
        <v>2.25</v>
      </c>
      <c r="I623" t="s">
        <v>19</v>
      </c>
      <c r="J623">
        <v>16</v>
      </c>
      <c r="K623">
        <v>0</v>
      </c>
      <c r="L623">
        <v>6</v>
      </c>
      <c r="M623" s="5">
        <v>2</v>
      </c>
      <c r="N623" s="4">
        <f t="shared" si="9"/>
        <v>2.25</v>
      </c>
      <c r="O623">
        <f>HOUR(TIMEVALUE(RetailTransactions[[#This Row],[Time]]))</f>
        <v>20</v>
      </c>
    </row>
    <row r="624" spans="1:15">
      <c r="A624" t="s">
        <v>828</v>
      </c>
      <c r="B624" s="3">
        <v>46175</v>
      </c>
      <c r="C624" t="s">
        <v>829</v>
      </c>
      <c r="D624" t="s">
        <v>22</v>
      </c>
      <c r="E624" t="s">
        <v>17</v>
      </c>
      <c r="F624" t="s">
        <v>18</v>
      </c>
      <c r="G624">
        <v>1</v>
      </c>
      <c r="H624" s="4">
        <v>1.75</v>
      </c>
      <c r="I624" t="s">
        <v>19</v>
      </c>
      <c r="J624">
        <v>24</v>
      </c>
      <c r="K624">
        <v>0</v>
      </c>
      <c r="L624">
        <v>6</v>
      </c>
      <c r="M624" s="5">
        <v>2</v>
      </c>
      <c r="N624" s="4">
        <f t="shared" si="9"/>
        <v>1.75</v>
      </c>
      <c r="O624">
        <f>HOUR(TIMEVALUE(RetailTransactions[[#This Row],[Time]]))</f>
        <v>8</v>
      </c>
    </row>
    <row r="625" spans="1:15">
      <c r="A625" t="s">
        <v>830</v>
      </c>
      <c r="B625" s="3">
        <v>46229</v>
      </c>
      <c r="C625" t="s">
        <v>62</v>
      </c>
      <c r="D625" t="s">
        <v>27</v>
      </c>
      <c r="E625" t="s">
        <v>60</v>
      </c>
      <c r="F625" t="s">
        <v>29</v>
      </c>
      <c r="G625">
        <v>2</v>
      </c>
      <c r="H625" s="4">
        <v>2.69</v>
      </c>
      <c r="I625" t="s">
        <v>19</v>
      </c>
      <c r="J625">
        <v>4</v>
      </c>
      <c r="K625">
        <v>0</v>
      </c>
      <c r="L625">
        <v>8</v>
      </c>
      <c r="M625" s="5">
        <v>5.9</v>
      </c>
      <c r="N625" s="4">
        <f t="shared" si="9"/>
        <v>5.38</v>
      </c>
      <c r="O625">
        <f>HOUR(TIMEVALUE(RetailTransactions[[#This Row],[Time]]))</f>
        <v>18</v>
      </c>
    </row>
    <row r="626" spans="1:15">
      <c r="A626" t="s">
        <v>831</v>
      </c>
      <c r="B626" s="3">
        <v>46207</v>
      </c>
      <c r="C626" t="s">
        <v>318</v>
      </c>
      <c r="D626" t="s">
        <v>66</v>
      </c>
      <c r="E626" t="s">
        <v>23</v>
      </c>
      <c r="F626" t="s">
        <v>24</v>
      </c>
      <c r="G626">
        <v>1</v>
      </c>
      <c r="H626" s="4">
        <v>0.95</v>
      </c>
      <c r="I626" t="s">
        <v>19</v>
      </c>
      <c r="J626">
        <v>4</v>
      </c>
      <c r="K626">
        <v>2</v>
      </c>
      <c r="L626">
        <v>6</v>
      </c>
      <c r="M626" s="5">
        <v>4.0999999999999996</v>
      </c>
      <c r="N626" s="4">
        <f t="shared" si="9"/>
        <v>0.95</v>
      </c>
      <c r="O626">
        <f>HOUR(TIMEVALUE(RetailTransactions[[#This Row],[Time]]))</f>
        <v>12</v>
      </c>
    </row>
    <row r="627" spans="1:15">
      <c r="A627" t="s">
        <v>832</v>
      </c>
      <c r="B627" s="3">
        <v>46248</v>
      </c>
      <c r="C627" t="s">
        <v>230</v>
      </c>
      <c r="D627" t="s">
        <v>72</v>
      </c>
      <c r="E627" t="s">
        <v>23</v>
      </c>
      <c r="F627" t="s">
        <v>24</v>
      </c>
      <c r="G627">
        <v>1</v>
      </c>
      <c r="H627" s="4">
        <v>0.95</v>
      </c>
      <c r="I627" t="s">
        <v>19</v>
      </c>
      <c r="J627">
        <v>12</v>
      </c>
      <c r="K627">
        <v>1</v>
      </c>
      <c r="L627">
        <v>8</v>
      </c>
      <c r="M627" s="5">
        <v>4</v>
      </c>
      <c r="N627" s="4">
        <f t="shared" si="9"/>
        <v>0.95</v>
      </c>
      <c r="O627">
        <f>HOUR(TIMEVALUE(RetailTransactions[[#This Row],[Time]]))</f>
        <v>13</v>
      </c>
    </row>
    <row r="628" spans="1:15">
      <c r="A628" t="s">
        <v>833</v>
      </c>
      <c r="B628" s="3">
        <v>46227</v>
      </c>
      <c r="C628" t="s">
        <v>409</v>
      </c>
      <c r="D628" t="s">
        <v>72</v>
      </c>
      <c r="E628" t="s">
        <v>85</v>
      </c>
      <c r="F628" t="s">
        <v>18</v>
      </c>
      <c r="G628">
        <v>1</v>
      </c>
      <c r="H628" s="4">
        <v>2.4900000000000002</v>
      </c>
      <c r="I628" t="s">
        <v>19</v>
      </c>
      <c r="J628">
        <v>50</v>
      </c>
      <c r="K628">
        <v>0</v>
      </c>
      <c r="L628">
        <v>7</v>
      </c>
      <c r="M628" s="5">
        <v>1.5</v>
      </c>
      <c r="N628" s="4">
        <f t="shared" si="9"/>
        <v>2.4900000000000002</v>
      </c>
      <c r="O628">
        <f>HOUR(TIMEVALUE(RetailTransactions[[#This Row],[Time]]))</f>
        <v>21</v>
      </c>
    </row>
    <row r="629" spans="1:15">
      <c r="A629" t="s">
        <v>834</v>
      </c>
      <c r="B629" s="3">
        <v>46187</v>
      </c>
      <c r="C629" t="s">
        <v>99</v>
      </c>
      <c r="D629" t="s">
        <v>27</v>
      </c>
      <c r="E629" t="s">
        <v>34</v>
      </c>
      <c r="F629" t="s">
        <v>24</v>
      </c>
      <c r="G629">
        <v>1</v>
      </c>
      <c r="H629" s="4">
        <v>1.49</v>
      </c>
      <c r="I629" t="s">
        <v>19</v>
      </c>
      <c r="J629">
        <v>58</v>
      </c>
      <c r="K629">
        <v>0</v>
      </c>
      <c r="L629">
        <v>5</v>
      </c>
      <c r="M629" s="5">
        <v>3.1</v>
      </c>
      <c r="N629" s="4">
        <f t="shared" si="9"/>
        <v>1.49</v>
      </c>
      <c r="O629">
        <f>HOUR(TIMEVALUE(RetailTransactions[[#This Row],[Time]]))</f>
        <v>16</v>
      </c>
    </row>
    <row r="630" spans="1:15">
      <c r="A630" t="s">
        <v>835</v>
      </c>
      <c r="B630" s="3">
        <v>46236</v>
      </c>
      <c r="C630" t="s">
        <v>154</v>
      </c>
      <c r="D630" t="s">
        <v>27</v>
      </c>
      <c r="E630" t="s">
        <v>60</v>
      </c>
      <c r="F630" t="s">
        <v>29</v>
      </c>
      <c r="G630">
        <v>2</v>
      </c>
      <c r="H630" s="4">
        <v>2.69</v>
      </c>
      <c r="I630" t="s">
        <v>19</v>
      </c>
      <c r="J630">
        <v>12</v>
      </c>
      <c r="K630">
        <v>0</v>
      </c>
      <c r="L630">
        <v>6</v>
      </c>
      <c r="M630" s="5">
        <v>1.1000000000000001</v>
      </c>
      <c r="N630" s="4">
        <f t="shared" si="9"/>
        <v>5.38</v>
      </c>
      <c r="O630">
        <f>HOUR(TIMEVALUE(RetailTransactions[[#This Row],[Time]]))</f>
        <v>16</v>
      </c>
    </row>
    <row r="631" spans="1:15">
      <c r="A631" t="s">
        <v>836</v>
      </c>
      <c r="B631" s="3">
        <v>46264</v>
      </c>
      <c r="C631" t="s">
        <v>445</v>
      </c>
      <c r="D631" t="s">
        <v>27</v>
      </c>
      <c r="E631" t="s">
        <v>69</v>
      </c>
      <c r="F631" t="s">
        <v>43</v>
      </c>
      <c r="G631">
        <v>1</v>
      </c>
      <c r="H631" s="4">
        <v>1.99</v>
      </c>
      <c r="I631" t="s">
        <v>19</v>
      </c>
      <c r="J631">
        <v>18</v>
      </c>
      <c r="K631">
        <v>0</v>
      </c>
      <c r="L631">
        <v>4</v>
      </c>
      <c r="M631" s="5">
        <v>3.4</v>
      </c>
      <c r="N631" s="4">
        <f t="shared" si="9"/>
        <v>1.99</v>
      </c>
      <c r="O631">
        <f>HOUR(TIMEVALUE(RetailTransactions[[#This Row],[Time]]))</f>
        <v>15</v>
      </c>
    </row>
    <row r="632" spans="1:15">
      <c r="A632" t="s">
        <v>837</v>
      </c>
      <c r="B632" s="3">
        <v>46227</v>
      </c>
      <c r="C632" t="s">
        <v>838</v>
      </c>
      <c r="D632" t="s">
        <v>72</v>
      </c>
      <c r="E632" t="s">
        <v>34</v>
      </c>
      <c r="F632" t="s">
        <v>24</v>
      </c>
      <c r="G632">
        <v>1</v>
      </c>
      <c r="H632" s="4">
        <v>1.49</v>
      </c>
      <c r="I632" t="s">
        <v>19</v>
      </c>
      <c r="J632">
        <v>6</v>
      </c>
      <c r="K632">
        <v>0</v>
      </c>
      <c r="L632">
        <v>5</v>
      </c>
      <c r="M632" s="5">
        <v>3.5</v>
      </c>
      <c r="N632" s="4">
        <f t="shared" si="9"/>
        <v>1.49</v>
      </c>
      <c r="O632">
        <f>HOUR(TIMEVALUE(RetailTransactions[[#This Row],[Time]]))</f>
        <v>15</v>
      </c>
    </row>
    <row r="633" spans="1:15">
      <c r="A633" t="s">
        <v>839</v>
      </c>
      <c r="B633" s="3">
        <v>46215</v>
      </c>
      <c r="C633" t="s">
        <v>142</v>
      </c>
      <c r="D633" t="s">
        <v>27</v>
      </c>
      <c r="E633" t="s">
        <v>46</v>
      </c>
      <c r="F633" t="s">
        <v>24</v>
      </c>
      <c r="G633">
        <v>2</v>
      </c>
      <c r="H633" s="4">
        <v>1.52</v>
      </c>
      <c r="I633" t="s">
        <v>30</v>
      </c>
      <c r="J633">
        <v>36</v>
      </c>
      <c r="K633">
        <v>0</v>
      </c>
      <c r="L633">
        <v>8</v>
      </c>
      <c r="M633" s="5">
        <v>3.9</v>
      </c>
      <c r="N633" s="4">
        <f t="shared" si="9"/>
        <v>3.04</v>
      </c>
      <c r="O633">
        <f>HOUR(TIMEVALUE(RetailTransactions[[#This Row],[Time]]))</f>
        <v>18</v>
      </c>
    </row>
    <row r="634" spans="1:15">
      <c r="A634" t="s">
        <v>840</v>
      </c>
      <c r="B634" s="3">
        <v>46264</v>
      </c>
      <c r="C634" t="s">
        <v>230</v>
      </c>
      <c r="D634" t="s">
        <v>27</v>
      </c>
      <c r="E634" t="s">
        <v>69</v>
      </c>
      <c r="F634" t="s">
        <v>43</v>
      </c>
      <c r="G634">
        <v>1</v>
      </c>
      <c r="H634" s="4">
        <v>1.99</v>
      </c>
      <c r="I634" t="s">
        <v>19</v>
      </c>
      <c r="J634">
        <v>6</v>
      </c>
      <c r="K634">
        <v>2</v>
      </c>
      <c r="L634">
        <v>9</v>
      </c>
      <c r="M634" s="5">
        <v>5.0999999999999996</v>
      </c>
      <c r="N634" s="4">
        <f t="shared" si="9"/>
        <v>1.99</v>
      </c>
      <c r="O634">
        <f>HOUR(TIMEVALUE(RetailTransactions[[#This Row],[Time]]))</f>
        <v>13</v>
      </c>
    </row>
    <row r="635" spans="1:15">
      <c r="A635" t="s">
        <v>841</v>
      </c>
      <c r="B635" s="3">
        <v>46238</v>
      </c>
      <c r="C635" t="s">
        <v>355</v>
      </c>
      <c r="D635" t="s">
        <v>22</v>
      </c>
      <c r="E635" t="s">
        <v>28</v>
      </c>
      <c r="F635" t="s">
        <v>29</v>
      </c>
      <c r="G635">
        <v>1</v>
      </c>
      <c r="H635" s="4">
        <v>3.29</v>
      </c>
      <c r="I635" t="s">
        <v>19</v>
      </c>
      <c r="J635">
        <v>36</v>
      </c>
      <c r="K635">
        <v>0</v>
      </c>
      <c r="L635">
        <v>8</v>
      </c>
      <c r="M635" s="5">
        <v>5</v>
      </c>
      <c r="N635" s="4">
        <f t="shared" si="9"/>
        <v>3.29</v>
      </c>
      <c r="O635">
        <f>HOUR(TIMEVALUE(RetailTransactions[[#This Row],[Time]]))</f>
        <v>19</v>
      </c>
    </row>
    <row r="636" spans="1:15">
      <c r="A636" t="s">
        <v>842</v>
      </c>
      <c r="B636" s="3">
        <v>46200</v>
      </c>
      <c r="C636" t="s">
        <v>99</v>
      </c>
      <c r="D636" t="s">
        <v>66</v>
      </c>
      <c r="E636" t="s">
        <v>17</v>
      </c>
      <c r="F636" t="s">
        <v>18</v>
      </c>
      <c r="G636">
        <v>1</v>
      </c>
      <c r="H636" s="4">
        <v>1.75</v>
      </c>
      <c r="I636" t="s">
        <v>19</v>
      </c>
      <c r="J636">
        <v>12</v>
      </c>
      <c r="K636">
        <v>0</v>
      </c>
      <c r="L636">
        <v>5</v>
      </c>
      <c r="M636" s="5">
        <v>3.9</v>
      </c>
      <c r="N636" s="4">
        <f t="shared" si="9"/>
        <v>1.75</v>
      </c>
      <c r="O636">
        <f>HOUR(TIMEVALUE(RetailTransactions[[#This Row],[Time]]))</f>
        <v>16</v>
      </c>
    </row>
    <row r="637" spans="1:15">
      <c r="A637" t="s">
        <v>843</v>
      </c>
      <c r="B637" s="3">
        <v>46248</v>
      </c>
      <c r="C637" t="s">
        <v>318</v>
      </c>
      <c r="D637" t="s">
        <v>72</v>
      </c>
      <c r="E637" t="s">
        <v>69</v>
      </c>
      <c r="F637" t="s">
        <v>43</v>
      </c>
      <c r="G637">
        <v>2</v>
      </c>
      <c r="H637" s="4">
        <v>1.69</v>
      </c>
      <c r="I637" t="s">
        <v>30</v>
      </c>
      <c r="J637">
        <v>14</v>
      </c>
      <c r="K637">
        <v>0</v>
      </c>
      <c r="L637">
        <v>7</v>
      </c>
      <c r="M637" s="5">
        <v>3.6</v>
      </c>
      <c r="N637" s="4">
        <f t="shared" si="9"/>
        <v>3.38</v>
      </c>
      <c r="O637">
        <f>HOUR(TIMEVALUE(RetailTransactions[[#This Row],[Time]]))</f>
        <v>12</v>
      </c>
    </row>
    <row r="638" spans="1:15">
      <c r="A638" t="s">
        <v>844</v>
      </c>
      <c r="B638" s="3">
        <v>46180</v>
      </c>
      <c r="C638" t="s">
        <v>142</v>
      </c>
      <c r="D638" t="s">
        <v>27</v>
      </c>
      <c r="E638" t="s">
        <v>38</v>
      </c>
      <c r="F638" t="s">
        <v>39</v>
      </c>
      <c r="G638">
        <v>3</v>
      </c>
      <c r="H638" s="4">
        <v>2.37</v>
      </c>
      <c r="I638" t="s">
        <v>30</v>
      </c>
      <c r="J638">
        <v>41</v>
      </c>
      <c r="K638">
        <v>1</v>
      </c>
      <c r="L638">
        <v>6</v>
      </c>
      <c r="M638" s="5">
        <v>3.5</v>
      </c>
      <c r="N638" s="4">
        <f t="shared" si="9"/>
        <v>7.11</v>
      </c>
      <c r="O638">
        <f>HOUR(TIMEVALUE(RetailTransactions[[#This Row],[Time]]))</f>
        <v>18</v>
      </c>
    </row>
    <row r="639" spans="1:15">
      <c r="A639" t="s">
        <v>845</v>
      </c>
      <c r="B639" s="3">
        <v>46257</v>
      </c>
      <c r="C639" t="s">
        <v>458</v>
      </c>
      <c r="D639" t="s">
        <v>27</v>
      </c>
      <c r="E639" t="s">
        <v>46</v>
      </c>
      <c r="F639" t="s">
        <v>24</v>
      </c>
      <c r="G639">
        <v>2</v>
      </c>
      <c r="H639" s="4">
        <v>1.79</v>
      </c>
      <c r="I639" t="s">
        <v>19</v>
      </c>
      <c r="J639">
        <v>50</v>
      </c>
      <c r="K639">
        <v>1</v>
      </c>
      <c r="L639">
        <v>7</v>
      </c>
      <c r="M639" s="5">
        <v>5.6</v>
      </c>
      <c r="N639" s="4">
        <f t="shared" si="9"/>
        <v>3.58</v>
      </c>
      <c r="O639">
        <f>HOUR(TIMEVALUE(RetailTransactions[[#This Row],[Time]]))</f>
        <v>13</v>
      </c>
    </row>
    <row r="640" spans="1:15">
      <c r="A640" t="s">
        <v>846</v>
      </c>
      <c r="B640" s="3">
        <v>46219</v>
      </c>
      <c r="C640" t="s">
        <v>327</v>
      </c>
      <c r="D640" t="s">
        <v>37</v>
      </c>
      <c r="E640" t="s">
        <v>85</v>
      </c>
      <c r="F640" t="s">
        <v>18</v>
      </c>
      <c r="G640">
        <v>1</v>
      </c>
      <c r="H640" s="4">
        <v>2.4900000000000002</v>
      </c>
      <c r="I640" t="s">
        <v>19</v>
      </c>
      <c r="J640">
        <v>33</v>
      </c>
      <c r="K640">
        <v>0</v>
      </c>
      <c r="L640">
        <v>9</v>
      </c>
      <c r="M640" s="5">
        <v>5.2</v>
      </c>
      <c r="N640" s="4">
        <f t="shared" si="9"/>
        <v>2.4900000000000002</v>
      </c>
      <c r="O640">
        <f>HOUR(TIMEVALUE(RetailTransactions[[#This Row],[Time]]))</f>
        <v>19</v>
      </c>
    </row>
    <row r="641" spans="1:15">
      <c r="A641" t="s">
        <v>847</v>
      </c>
      <c r="B641" s="3">
        <v>46234</v>
      </c>
      <c r="C641" t="s">
        <v>178</v>
      </c>
      <c r="D641" t="s">
        <v>72</v>
      </c>
      <c r="E641" t="s">
        <v>63</v>
      </c>
      <c r="F641" t="s">
        <v>50</v>
      </c>
      <c r="G641">
        <v>2</v>
      </c>
      <c r="H641" s="4">
        <v>3.49</v>
      </c>
      <c r="I641" t="s">
        <v>19</v>
      </c>
      <c r="J641">
        <v>53</v>
      </c>
      <c r="K641">
        <v>0</v>
      </c>
      <c r="L641">
        <v>5</v>
      </c>
      <c r="M641" s="5">
        <v>3.3</v>
      </c>
      <c r="N641" s="4">
        <f t="shared" si="9"/>
        <v>6.98</v>
      </c>
      <c r="O641">
        <f>HOUR(TIMEVALUE(RetailTransactions[[#This Row],[Time]]))</f>
        <v>15</v>
      </c>
    </row>
    <row r="642" spans="1:15">
      <c r="A642" t="s">
        <v>848</v>
      </c>
      <c r="B642" s="3">
        <v>46191</v>
      </c>
      <c r="C642" t="s">
        <v>62</v>
      </c>
      <c r="D642" t="s">
        <v>37</v>
      </c>
      <c r="E642" t="s">
        <v>120</v>
      </c>
      <c r="F642" t="s">
        <v>50</v>
      </c>
      <c r="G642">
        <v>1</v>
      </c>
      <c r="H642" s="4">
        <v>2.25</v>
      </c>
      <c r="I642" t="s">
        <v>19</v>
      </c>
      <c r="J642">
        <v>20</v>
      </c>
      <c r="K642">
        <v>0</v>
      </c>
      <c r="L642">
        <v>9</v>
      </c>
      <c r="M642" s="5">
        <v>3.4</v>
      </c>
      <c r="N642" s="4">
        <f t="shared" ref="N642:N705" si="10">G642*H642</f>
        <v>2.25</v>
      </c>
      <c r="O642">
        <f>HOUR(TIMEVALUE(RetailTransactions[[#This Row],[Time]]))</f>
        <v>18</v>
      </c>
    </row>
    <row r="643" spans="1:15">
      <c r="A643" t="s">
        <v>849</v>
      </c>
      <c r="B643" s="3">
        <v>46196</v>
      </c>
      <c r="C643" t="s">
        <v>303</v>
      </c>
      <c r="D643" t="s">
        <v>22</v>
      </c>
      <c r="E643" t="s">
        <v>106</v>
      </c>
      <c r="F643" t="s">
        <v>18</v>
      </c>
      <c r="G643">
        <v>1</v>
      </c>
      <c r="H643" s="4">
        <v>1.61</v>
      </c>
      <c r="I643" t="s">
        <v>30</v>
      </c>
      <c r="J643">
        <v>30</v>
      </c>
      <c r="K643">
        <v>0</v>
      </c>
      <c r="L643">
        <v>4</v>
      </c>
      <c r="M643" s="5">
        <v>4.5999999999999996</v>
      </c>
      <c r="N643" s="4">
        <f t="shared" si="10"/>
        <v>1.61</v>
      </c>
      <c r="O643">
        <f>HOUR(TIMEVALUE(RetailTransactions[[#This Row],[Time]]))</f>
        <v>16</v>
      </c>
    </row>
    <row r="644" spans="1:15">
      <c r="A644" t="s">
        <v>850</v>
      </c>
      <c r="B644" s="3">
        <v>46199</v>
      </c>
      <c r="C644" t="s">
        <v>101</v>
      </c>
      <c r="D644" t="s">
        <v>72</v>
      </c>
      <c r="E644" t="s">
        <v>46</v>
      </c>
      <c r="F644" t="s">
        <v>24</v>
      </c>
      <c r="G644">
        <v>2</v>
      </c>
      <c r="H644" s="4">
        <v>1.52</v>
      </c>
      <c r="I644" t="s">
        <v>30</v>
      </c>
      <c r="J644">
        <v>55</v>
      </c>
      <c r="K644">
        <v>0</v>
      </c>
      <c r="L644">
        <v>5</v>
      </c>
      <c r="M644" s="5">
        <v>2.9</v>
      </c>
      <c r="N644" s="4">
        <f t="shared" si="10"/>
        <v>3.04</v>
      </c>
      <c r="O644">
        <f>HOUR(TIMEVALUE(RetailTransactions[[#This Row],[Time]]))</f>
        <v>14</v>
      </c>
    </row>
    <row r="645" spans="1:15">
      <c r="A645" t="s">
        <v>851</v>
      </c>
      <c r="B645" s="3">
        <v>46242</v>
      </c>
      <c r="C645" t="s">
        <v>852</v>
      </c>
      <c r="D645" t="s">
        <v>66</v>
      </c>
      <c r="E645" t="s">
        <v>23</v>
      </c>
      <c r="F645" t="s">
        <v>24</v>
      </c>
      <c r="G645">
        <v>1</v>
      </c>
      <c r="H645" s="4">
        <v>0.95</v>
      </c>
      <c r="I645" t="s">
        <v>19</v>
      </c>
      <c r="J645">
        <v>40</v>
      </c>
      <c r="K645">
        <v>0</v>
      </c>
      <c r="L645">
        <v>5</v>
      </c>
      <c r="M645" s="5">
        <v>3.7</v>
      </c>
      <c r="N645" s="4">
        <f t="shared" si="10"/>
        <v>0.95</v>
      </c>
      <c r="O645">
        <f>HOUR(TIMEVALUE(RetailTransactions[[#This Row],[Time]]))</f>
        <v>20</v>
      </c>
    </row>
    <row r="646" spans="1:15">
      <c r="A646" t="s">
        <v>853</v>
      </c>
      <c r="B646" s="3">
        <v>46198</v>
      </c>
      <c r="C646" t="s">
        <v>458</v>
      </c>
      <c r="D646" t="s">
        <v>37</v>
      </c>
      <c r="E646" t="s">
        <v>106</v>
      </c>
      <c r="F646" t="s">
        <v>18</v>
      </c>
      <c r="G646">
        <v>1</v>
      </c>
      <c r="H646" s="4">
        <v>1.89</v>
      </c>
      <c r="I646" t="s">
        <v>19</v>
      </c>
      <c r="J646">
        <v>22</v>
      </c>
      <c r="K646">
        <v>0</v>
      </c>
      <c r="L646">
        <v>6</v>
      </c>
      <c r="M646" s="5">
        <v>4.4000000000000004</v>
      </c>
      <c r="N646" s="4">
        <f t="shared" si="10"/>
        <v>1.89</v>
      </c>
      <c r="O646">
        <f>HOUR(TIMEVALUE(RetailTransactions[[#This Row],[Time]]))</f>
        <v>13</v>
      </c>
    </row>
    <row r="647" spans="1:15">
      <c r="A647" t="s">
        <v>854</v>
      </c>
      <c r="B647" s="3">
        <v>46260</v>
      </c>
      <c r="C647" t="s">
        <v>156</v>
      </c>
      <c r="D647" t="s">
        <v>16</v>
      </c>
      <c r="E647" t="s">
        <v>42</v>
      </c>
      <c r="F647" t="s">
        <v>43</v>
      </c>
      <c r="G647">
        <v>2</v>
      </c>
      <c r="H647" s="4">
        <v>1.39</v>
      </c>
      <c r="I647" t="s">
        <v>19</v>
      </c>
      <c r="J647">
        <v>19</v>
      </c>
      <c r="K647">
        <v>0</v>
      </c>
      <c r="L647">
        <v>4</v>
      </c>
      <c r="M647" s="5">
        <v>4.2</v>
      </c>
      <c r="N647" s="4">
        <f t="shared" si="10"/>
        <v>2.78</v>
      </c>
      <c r="O647">
        <f>HOUR(TIMEVALUE(RetailTransactions[[#This Row],[Time]]))</f>
        <v>16</v>
      </c>
    </row>
    <row r="648" spans="1:15">
      <c r="A648" t="s">
        <v>855</v>
      </c>
      <c r="B648" s="3">
        <v>46243</v>
      </c>
      <c r="C648" t="s">
        <v>460</v>
      </c>
      <c r="D648" t="s">
        <v>27</v>
      </c>
      <c r="E648" t="s">
        <v>49</v>
      </c>
      <c r="F648" t="s">
        <v>50</v>
      </c>
      <c r="G648">
        <v>1</v>
      </c>
      <c r="H648" s="4">
        <v>3.95</v>
      </c>
      <c r="I648" t="s">
        <v>19</v>
      </c>
      <c r="J648">
        <v>55</v>
      </c>
      <c r="K648">
        <v>0</v>
      </c>
      <c r="L648">
        <v>7</v>
      </c>
      <c r="M648" s="5">
        <v>3.8</v>
      </c>
      <c r="N648" s="4">
        <f t="shared" si="10"/>
        <v>3.95</v>
      </c>
      <c r="O648">
        <f>HOUR(TIMEVALUE(RetailTransactions[[#This Row],[Time]]))</f>
        <v>18</v>
      </c>
    </row>
    <row r="649" spans="1:15">
      <c r="A649" t="s">
        <v>856</v>
      </c>
      <c r="B649" s="3">
        <v>46255</v>
      </c>
      <c r="C649" t="s">
        <v>307</v>
      </c>
      <c r="D649" t="s">
        <v>72</v>
      </c>
      <c r="E649" t="s">
        <v>125</v>
      </c>
      <c r="F649" t="s">
        <v>39</v>
      </c>
      <c r="G649">
        <v>1</v>
      </c>
      <c r="H649" s="4">
        <v>1.85</v>
      </c>
      <c r="I649" t="s">
        <v>19</v>
      </c>
      <c r="J649">
        <v>12</v>
      </c>
      <c r="K649">
        <v>0</v>
      </c>
      <c r="L649">
        <v>6</v>
      </c>
      <c r="M649" s="5">
        <v>4</v>
      </c>
      <c r="N649" s="4">
        <f t="shared" si="10"/>
        <v>1.85</v>
      </c>
      <c r="O649">
        <f>HOUR(TIMEVALUE(RetailTransactions[[#This Row],[Time]]))</f>
        <v>19</v>
      </c>
    </row>
    <row r="650" spans="1:15">
      <c r="A650" t="s">
        <v>857</v>
      </c>
      <c r="B650" s="3">
        <v>46189</v>
      </c>
      <c r="C650" t="s">
        <v>144</v>
      </c>
      <c r="D650" t="s">
        <v>22</v>
      </c>
      <c r="E650" t="s">
        <v>106</v>
      </c>
      <c r="F650" t="s">
        <v>18</v>
      </c>
      <c r="G650">
        <v>2</v>
      </c>
      <c r="H650" s="4">
        <v>1.61</v>
      </c>
      <c r="I650" t="s">
        <v>30</v>
      </c>
      <c r="J650">
        <v>60</v>
      </c>
      <c r="K650">
        <v>0</v>
      </c>
      <c r="L650">
        <v>6</v>
      </c>
      <c r="M650" s="5">
        <v>4.5</v>
      </c>
      <c r="N650" s="4">
        <f t="shared" si="10"/>
        <v>3.22</v>
      </c>
      <c r="O650">
        <f>HOUR(TIMEVALUE(RetailTransactions[[#This Row],[Time]]))</f>
        <v>17</v>
      </c>
    </row>
    <row r="651" spans="1:15">
      <c r="A651" t="s">
        <v>858</v>
      </c>
      <c r="B651" s="3">
        <v>46197</v>
      </c>
      <c r="C651" t="s">
        <v>447</v>
      </c>
      <c r="D651" t="s">
        <v>16</v>
      </c>
      <c r="E651" t="s">
        <v>49</v>
      </c>
      <c r="F651" t="s">
        <v>50</v>
      </c>
      <c r="G651">
        <v>2</v>
      </c>
      <c r="H651" s="4">
        <v>3.95</v>
      </c>
      <c r="I651" t="s">
        <v>19</v>
      </c>
      <c r="J651">
        <v>16</v>
      </c>
      <c r="K651">
        <v>0</v>
      </c>
      <c r="L651">
        <v>4</v>
      </c>
      <c r="M651" s="5">
        <v>3.9</v>
      </c>
      <c r="N651" s="4">
        <f t="shared" si="10"/>
        <v>7.9</v>
      </c>
      <c r="O651">
        <f>HOUR(TIMEVALUE(RetailTransactions[[#This Row],[Time]]))</f>
        <v>11</v>
      </c>
    </row>
    <row r="652" spans="1:15">
      <c r="A652" t="s">
        <v>859</v>
      </c>
      <c r="B652" s="3">
        <v>46187</v>
      </c>
      <c r="C652" t="s">
        <v>97</v>
      </c>
      <c r="D652" t="s">
        <v>27</v>
      </c>
      <c r="E652" t="s">
        <v>34</v>
      </c>
      <c r="F652" t="s">
        <v>24</v>
      </c>
      <c r="G652">
        <v>1</v>
      </c>
      <c r="H652" s="4">
        <v>1.49</v>
      </c>
      <c r="I652" t="s">
        <v>19</v>
      </c>
      <c r="J652">
        <v>36</v>
      </c>
      <c r="K652">
        <v>0</v>
      </c>
      <c r="L652">
        <v>7</v>
      </c>
      <c r="M652" s="5">
        <v>1.3</v>
      </c>
      <c r="N652" s="4">
        <f t="shared" si="10"/>
        <v>1.49</v>
      </c>
      <c r="O652">
        <f>HOUR(TIMEVALUE(RetailTransactions[[#This Row],[Time]]))</f>
        <v>21</v>
      </c>
    </row>
    <row r="653" spans="1:15">
      <c r="A653" t="s">
        <v>860</v>
      </c>
      <c r="B653" s="3">
        <v>46254</v>
      </c>
      <c r="C653" t="s">
        <v>523</v>
      </c>
      <c r="D653" t="s">
        <v>37</v>
      </c>
      <c r="E653" t="s">
        <v>115</v>
      </c>
      <c r="F653" t="s">
        <v>29</v>
      </c>
      <c r="G653">
        <v>2</v>
      </c>
      <c r="H653" s="4">
        <v>3.99</v>
      </c>
      <c r="I653" t="s">
        <v>19</v>
      </c>
      <c r="J653">
        <v>22</v>
      </c>
      <c r="K653">
        <v>0</v>
      </c>
      <c r="L653">
        <v>5</v>
      </c>
      <c r="M653" s="5">
        <v>3.7</v>
      </c>
      <c r="N653" s="4">
        <f t="shared" si="10"/>
        <v>7.98</v>
      </c>
      <c r="O653">
        <f>HOUR(TIMEVALUE(RetailTransactions[[#This Row],[Time]]))</f>
        <v>9</v>
      </c>
    </row>
    <row r="654" spans="1:15">
      <c r="A654" t="s">
        <v>861</v>
      </c>
      <c r="B654" s="3">
        <v>46181</v>
      </c>
      <c r="C654" t="s">
        <v>77</v>
      </c>
      <c r="D654" t="s">
        <v>33</v>
      </c>
      <c r="E654" t="s">
        <v>23</v>
      </c>
      <c r="F654" t="s">
        <v>24</v>
      </c>
      <c r="G654">
        <v>1</v>
      </c>
      <c r="H654" s="4">
        <v>0.81</v>
      </c>
      <c r="I654" t="s">
        <v>30</v>
      </c>
      <c r="J654">
        <v>37</v>
      </c>
      <c r="K654">
        <v>0</v>
      </c>
      <c r="L654">
        <v>9</v>
      </c>
      <c r="M654" s="5">
        <v>5</v>
      </c>
      <c r="N654" s="4">
        <f t="shared" si="10"/>
        <v>0.81</v>
      </c>
      <c r="O654">
        <f>HOUR(TIMEVALUE(RetailTransactions[[#This Row],[Time]]))</f>
        <v>12</v>
      </c>
    </row>
    <row r="655" spans="1:15">
      <c r="A655" t="s">
        <v>862</v>
      </c>
      <c r="B655" s="3">
        <v>46263</v>
      </c>
      <c r="C655" t="s">
        <v>105</v>
      </c>
      <c r="D655" t="s">
        <v>66</v>
      </c>
      <c r="E655" t="s">
        <v>106</v>
      </c>
      <c r="F655" t="s">
        <v>18</v>
      </c>
      <c r="G655">
        <v>1</v>
      </c>
      <c r="H655" s="4">
        <v>1.89</v>
      </c>
      <c r="I655" t="s">
        <v>19</v>
      </c>
      <c r="J655">
        <v>33</v>
      </c>
      <c r="K655">
        <v>0</v>
      </c>
      <c r="L655">
        <v>9</v>
      </c>
      <c r="M655" s="5">
        <v>4.7</v>
      </c>
      <c r="N655" s="4">
        <f t="shared" si="10"/>
        <v>1.89</v>
      </c>
      <c r="O655">
        <f>HOUR(TIMEVALUE(RetailTransactions[[#This Row],[Time]]))</f>
        <v>12</v>
      </c>
    </row>
    <row r="656" spans="1:15">
      <c r="A656" t="s">
        <v>863</v>
      </c>
      <c r="B656" s="3">
        <v>46186</v>
      </c>
      <c r="C656" t="s">
        <v>340</v>
      </c>
      <c r="D656" t="s">
        <v>66</v>
      </c>
      <c r="E656" t="s">
        <v>49</v>
      </c>
      <c r="F656" t="s">
        <v>50</v>
      </c>
      <c r="G656">
        <v>1</v>
      </c>
      <c r="H656" s="4">
        <v>3.95</v>
      </c>
      <c r="I656" t="s">
        <v>19</v>
      </c>
      <c r="J656">
        <v>7</v>
      </c>
      <c r="K656">
        <v>0</v>
      </c>
      <c r="L656">
        <v>6</v>
      </c>
      <c r="M656" s="5">
        <v>4.4000000000000004</v>
      </c>
      <c r="N656" s="4">
        <f t="shared" si="10"/>
        <v>3.95</v>
      </c>
      <c r="O656">
        <f>HOUR(TIMEVALUE(RetailTransactions[[#This Row],[Time]]))</f>
        <v>19</v>
      </c>
    </row>
    <row r="657" spans="1:15">
      <c r="A657" t="s">
        <v>864</v>
      </c>
      <c r="B657" s="3">
        <v>46217</v>
      </c>
      <c r="C657" t="s">
        <v>865</v>
      </c>
      <c r="D657" t="s">
        <v>22</v>
      </c>
      <c r="E657" t="s">
        <v>38</v>
      </c>
      <c r="F657" t="s">
        <v>39</v>
      </c>
      <c r="G657">
        <v>2</v>
      </c>
      <c r="H657" s="4">
        <v>2.79</v>
      </c>
      <c r="I657" t="s">
        <v>19</v>
      </c>
      <c r="J657">
        <v>47</v>
      </c>
      <c r="K657">
        <v>0</v>
      </c>
      <c r="L657">
        <v>6</v>
      </c>
      <c r="M657" s="5">
        <v>1.8</v>
      </c>
      <c r="N657" s="4">
        <f t="shared" si="10"/>
        <v>5.58</v>
      </c>
      <c r="O657">
        <f>HOUR(TIMEVALUE(RetailTransactions[[#This Row],[Time]]))</f>
        <v>7</v>
      </c>
    </row>
    <row r="658" spans="1:15">
      <c r="A658" t="s">
        <v>866</v>
      </c>
      <c r="B658" s="3">
        <v>46183</v>
      </c>
      <c r="C658" t="s">
        <v>763</v>
      </c>
      <c r="D658" t="s">
        <v>16</v>
      </c>
      <c r="E658" t="s">
        <v>106</v>
      </c>
      <c r="F658" t="s">
        <v>18</v>
      </c>
      <c r="G658">
        <v>1</v>
      </c>
      <c r="H658" s="4">
        <v>1.89</v>
      </c>
      <c r="I658" t="s">
        <v>19</v>
      </c>
      <c r="J658">
        <v>37</v>
      </c>
      <c r="K658">
        <v>0</v>
      </c>
      <c r="L658">
        <v>7</v>
      </c>
      <c r="M658" s="5">
        <v>1.2</v>
      </c>
      <c r="N658" s="4">
        <f t="shared" si="10"/>
        <v>1.89</v>
      </c>
      <c r="O658">
        <f>HOUR(TIMEVALUE(RetailTransactions[[#This Row],[Time]]))</f>
        <v>10</v>
      </c>
    </row>
    <row r="659" spans="1:15">
      <c r="A659" t="s">
        <v>867</v>
      </c>
      <c r="B659" s="3">
        <v>46219</v>
      </c>
      <c r="C659" t="s">
        <v>345</v>
      </c>
      <c r="D659" t="s">
        <v>37</v>
      </c>
      <c r="E659" t="s">
        <v>85</v>
      </c>
      <c r="F659" t="s">
        <v>18</v>
      </c>
      <c r="G659">
        <v>2</v>
      </c>
      <c r="H659" s="4">
        <v>2.4900000000000002</v>
      </c>
      <c r="I659" t="s">
        <v>19</v>
      </c>
      <c r="J659">
        <v>5</v>
      </c>
      <c r="K659">
        <v>0</v>
      </c>
      <c r="L659">
        <v>6</v>
      </c>
      <c r="M659" s="5">
        <v>5.2</v>
      </c>
      <c r="N659" s="4">
        <f t="shared" si="10"/>
        <v>4.9800000000000004</v>
      </c>
      <c r="O659">
        <f>HOUR(TIMEVALUE(RetailTransactions[[#This Row],[Time]]))</f>
        <v>18</v>
      </c>
    </row>
    <row r="660" spans="1:15">
      <c r="A660" t="s">
        <v>868</v>
      </c>
      <c r="B660" s="3">
        <v>46238</v>
      </c>
      <c r="C660" t="s">
        <v>303</v>
      </c>
      <c r="D660" t="s">
        <v>22</v>
      </c>
      <c r="E660" t="s">
        <v>63</v>
      </c>
      <c r="F660" t="s">
        <v>50</v>
      </c>
      <c r="G660">
        <v>1</v>
      </c>
      <c r="H660" s="4">
        <v>3.49</v>
      </c>
      <c r="I660" t="s">
        <v>19</v>
      </c>
      <c r="J660">
        <v>38</v>
      </c>
      <c r="K660">
        <v>0</v>
      </c>
      <c r="L660">
        <v>4</v>
      </c>
      <c r="M660" s="5">
        <v>3.8</v>
      </c>
      <c r="N660" s="4">
        <f t="shared" si="10"/>
        <v>3.49</v>
      </c>
      <c r="O660">
        <f>HOUR(TIMEVALUE(RetailTransactions[[#This Row],[Time]]))</f>
        <v>16</v>
      </c>
    </row>
    <row r="661" spans="1:15">
      <c r="A661" t="s">
        <v>869</v>
      </c>
      <c r="B661" s="3">
        <v>46212</v>
      </c>
      <c r="C661" t="s">
        <v>458</v>
      </c>
      <c r="D661" t="s">
        <v>37</v>
      </c>
      <c r="E661" t="s">
        <v>125</v>
      </c>
      <c r="F661" t="s">
        <v>39</v>
      </c>
      <c r="G661">
        <v>1</v>
      </c>
      <c r="H661" s="4">
        <v>1.85</v>
      </c>
      <c r="I661" t="s">
        <v>19</v>
      </c>
      <c r="J661">
        <v>31</v>
      </c>
      <c r="K661">
        <v>0</v>
      </c>
      <c r="L661">
        <v>8</v>
      </c>
      <c r="M661" s="5">
        <v>4.3</v>
      </c>
      <c r="N661" s="4">
        <f t="shared" si="10"/>
        <v>1.85</v>
      </c>
      <c r="O661">
        <f>HOUR(TIMEVALUE(RetailTransactions[[#This Row],[Time]]))</f>
        <v>13</v>
      </c>
    </row>
    <row r="662" spans="1:15">
      <c r="A662" t="s">
        <v>870</v>
      </c>
      <c r="B662" s="3">
        <v>46198</v>
      </c>
      <c r="C662" t="s">
        <v>215</v>
      </c>
      <c r="D662" t="s">
        <v>37</v>
      </c>
      <c r="E662" t="s">
        <v>78</v>
      </c>
      <c r="F662" t="s">
        <v>39</v>
      </c>
      <c r="G662">
        <v>2</v>
      </c>
      <c r="H662" s="4">
        <v>1.32</v>
      </c>
      <c r="I662" t="s">
        <v>30</v>
      </c>
      <c r="J662">
        <v>42</v>
      </c>
      <c r="K662">
        <v>0</v>
      </c>
      <c r="L662">
        <v>8</v>
      </c>
      <c r="M662" s="5">
        <v>3.7</v>
      </c>
      <c r="N662" s="4">
        <f t="shared" si="10"/>
        <v>2.64</v>
      </c>
      <c r="O662">
        <f>HOUR(TIMEVALUE(RetailTransactions[[#This Row],[Time]]))</f>
        <v>12</v>
      </c>
    </row>
    <row r="663" spans="1:15">
      <c r="A663" t="s">
        <v>871</v>
      </c>
      <c r="B663" s="3">
        <v>46240</v>
      </c>
      <c r="C663" t="s">
        <v>110</v>
      </c>
      <c r="D663" t="s">
        <v>37</v>
      </c>
      <c r="E663" t="s">
        <v>78</v>
      </c>
      <c r="F663" t="s">
        <v>39</v>
      </c>
      <c r="G663">
        <v>1</v>
      </c>
      <c r="H663" s="4">
        <v>1.32</v>
      </c>
      <c r="I663" t="s">
        <v>30</v>
      </c>
      <c r="J663">
        <v>6</v>
      </c>
      <c r="K663">
        <v>1</v>
      </c>
      <c r="L663">
        <v>9</v>
      </c>
      <c r="M663" s="5">
        <v>5.2</v>
      </c>
      <c r="N663" s="4">
        <f t="shared" si="10"/>
        <v>1.32</v>
      </c>
      <c r="O663">
        <f>HOUR(TIMEVALUE(RetailTransactions[[#This Row],[Time]]))</f>
        <v>17</v>
      </c>
    </row>
    <row r="664" spans="1:15">
      <c r="A664" t="s">
        <v>872</v>
      </c>
      <c r="B664" s="3">
        <v>46205</v>
      </c>
      <c r="C664" t="s">
        <v>277</v>
      </c>
      <c r="D664" t="s">
        <v>37</v>
      </c>
      <c r="E664" t="s">
        <v>115</v>
      </c>
      <c r="F664" t="s">
        <v>29</v>
      </c>
      <c r="G664">
        <v>2</v>
      </c>
      <c r="H664" s="4">
        <v>3.99</v>
      </c>
      <c r="I664" t="s">
        <v>19</v>
      </c>
      <c r="J664">
        <v>40</v>
      </c>
      <c r="K664">
        <v>0</v>
      </c>
      <c r="L664">
        <v>7</v>
      </c>
      <c r="M664" s="5">
        <v>1.7</v>
      </c>
      <c r="N664" s="4">
        <f t="shared" si="10"/>
        <v>7.98</v>
      </c>
      <c r="O664">
        <f>HOUR(TIMEVALUE(RetailTransactions[[#This Row],[Time]]))</f>
        <v>9</v>
      </c>
    </row>
    <row r="665" spans="1:15">
      <c r="A665" t="s">
        <v>873</v>
      </c>
      <c r="B665" s="3">
        <v>46204</v>
      </c>
      <c r="C665" t="s">
        <v>117</v>
      </c>
      <c r="D665" t="s">
        <v>16</v>
      </c>
      <c r="E665" t="s">
        <v>120</v>
      </c>
      <c r="F665" t="s">
        <v>50</v>
      </c>
      <c r="G665">
        <v>2</v>
      </c>
      <c r="H665" s="4">
        <v>2.25</v>
      </c>
      <c r="I665" t="s">
        <v>19</v>
      </c>
      <c r="J665">
        <v>28</v>
      </c>
      <c r="K665">
        <v>0</v>
      </c>
      <c r="L665">
        <v>6</v>
      </c>
      <c r="M665" s="5">
        <v>4.0999999999999996</v>
      </c>
      <c r="N665" s="4">
        <f t="shared" si="10"/>
        <v>4.5</v>
      </c>
      <c r="O665">
        <f>HOUR(TIMEVALUE(RetailTransactions[[#This Row],[Time]]))</f>
        <v>18</v>
      </c>
    </row>
    <row r="666" spans="1:15">
      <c r="A666" t="s">
        <v>874</v>
      </c>
      <c r="B666" s="3">
        <v>46225</v>
      </c>
      <c r="C666" t="s">
        <v>209</v>
      </c>
      <c r="D666" t="s">
        <v>16</v>
      </c>
      <c r="E666" t="s">
        <v>115</v>
      </c>
      <c r="F666" t="s">
        <v>29</v>
      </c>
      <c r="G666">
        <v>1</v>
      </c>
      <c r="H666" s="4">
        <v>3.99</v>
      </c>
      <c r="I666" t="s">
        <v>19</v>
      </c>
      <c r="J666">
        <v>27</v>
      </c>
      <c r="K666">
        <v>0</v>
      </c>
      <c r="L666">
        <v>6</v>
      </c>
      <c r="M666" s="5">
        <v>4.7</v>
      </c>
      <c r="N666" s="4">
        <f t="shared" si="10"/>
        <v>3.99</v>
      </c>
      <c r="O666">
        <f>HOUR(TIMEVALUE(RetailTransactions[[#This Row],[Time]]))</f>
        <v>18</v>
      </c>
    </row>
    <row r="667" spans="1:15">
      <c r="A667" t="s">
        <v>875</v>
      </c>
      <c r="B667" s="3">
        <v>46207</v>
      </c>
      <c r="C667" t="s">
        <v>254</v>
      </c>
      <c r="D667" t="s">
        <v>66</v>
      </c>
      <c r="E667" t="s">
        <v>63</v>
      </c>
      <c r="F667" t="s">
        <v>50</v>
      </c>
      <c r="G667">
        <v>1</v>
      </c>
      <c r="H667" s="4">
        <v>2.97</v>
      </c>
      <c r="I667" t="s">
        <v>30</v>
      </c>
      <c r="J667">
        <v>38</v>
      </c>
      <c r="K667">
        <v>0</v>
      </c>
      <c r="L667">
        <v>7</v>
      </c>
      <c r="M667" s="5">
        <v>2.4</v>
      </c>
      <c r="N667" s="4">
        <f t="shared" si="10"/>
        <v>2.97</v>
      </c>
      <c r="O667">
        <f>HOUR(TIMEVALUE(RetailTransactions[[#This Row],[Time]]))</f>
        <v>10</v>
      </c>
    </row>
    <row r="668" spans="1:15">
      <c r="A668" t="s">
        <v>876</v>
      </c>
      <c r="B668" s="3">
        <v>46244</v>
      </c>
      <c r="C668" t="s">
        <v>307</v>
      </c>
      <c r="D668" t="s">
        <v>33</v>
      </c>
      <c r="E668" t="s">
        <v>125</v>
      </c>
      <c r="F668" t="s">
        <v>39</v>
      </c>
      <c r="G668">
        <v>2</v>
      </c>
      <c r="H668" s="4">
        <v>1.85</v>
      </c>
      <c r="I668" t="s">
        <v>19</v>
      </c>
      <c r="J668">
        <v>44</v>
      </c>
      <c r="K668">
        <v>0</v>
      </c>
      <c r="L668">
        <v>6</v>
      </c>
      <c r="M668" s="5">
        <v>5.5</v>
      </c>
      <c r="N668" s="4">
        <f t="shared" si="10"/>
        <v>3.7</v>
      </c>
      <c r="O668">
        <f>HOUR(TIMEVALUE(RetailTransactions[[#This Row],[Time]]))</f>
        <v>19</v>
      </c>
    </row>
    <row r="669" spans="1:15">
      <c r="A669" t="s">
        <v>877</v>
      </c>
      <c r="B669" s="3">
        <v>46237</v>
      </c>
      <c r="C669" t="s">
        <v>267</v>
      </c>
      <c r="D669" t="s">
        <v>33</v>
      </c>
      <c r="E669" t="s">
        <v>63</v>
      </c>
      <c r="F669" t="s">
        <v>50</v>
      </c>
      <c r="G669">
        <v>2</v>
      </c>
      <c r="H669" s="4">
        <v>2.97</v>
      </c>
      <c r="I669" t="s">
        <v>30</v>
      </c>
      <c r="J669">
        <v>59</v>
      </c>
      <c r="K669">
        <v>0</v>
      </c>
      <c r="L669">
        <v>9</v>
      </c>
      <c r="M669" s="5">
        <v>3.8</v>
      </c>
      <c r="N669" s="4">
        <f t="shared" si="10"/>
        <v>5.94</v>
      </c>
      <c r="O669">
        <f>HOUR(TIMEVALUE(RetailTransactions[[#This Row],[Time]]))</f>
        <v>13</v>
      </c>
    </row>
    <row r="670" spans="1:15">
      <c r="A670" t="s">
        <v>878</v>
      </c>
      <c r="B670" s="3">
        <v>46239</v>
      </c>
      <c r="C670" t="s">
        <v>71</v>
      </c>
      <c r="D670" t="s">
        <v>16</v>
      </c>
      <c r="E670" t="s">
        <v>23</v>
      </c>
      <c r="F670" t="s">
        <v>24</v>
      </c>
      <c r="G670">
        <v>2</v>
      </c>
      <c r="H670" s="4">
        <v>0.95</v>
      </c>
      <c r="I670" t="s">
        <v>19</v>
      </c>
      <c r="J670">
        <v>34</v>
      </c>
      <c r="K670">
        <v>3</v>
      </c>
      <c r="L670">
        <v>7</v>
      </c>
      <c r="M670" s="5">
        <v>3</v>
      </c>
      <c r="N670" s="4">
        <f t="shared" si="10"/>
        <v>1.9</v>
      </c>
      <c r="O670">
        <f>HOUR(TIMEVALUE(RetailTransactions[[#This Row],[Time]]))</f>
        <v>17</v>
      </c>
    </row>
    <row r="671" spans="1:15">
      <c r="A671" t="s">
        <v>879</v>
      </c>
      <c r="B671" s="3">
        <v>46188</v>
      </c>
      <c r="C671" t="s">
        <v>101</v>
      </c>
      <c r="D671" t="s">
        <v>33</v>
      </c>
      <c r="E671" t="s">
        <v>34</v>
      </c>
      <c r="F671" t="s">
        <v>24</v>
      </c>
      <c r="G671">
        <v>2</v>
      </c>
      <c r="H671" s="4">
        <v>1.49</v>
      </c>
      <c r="I671" t="s">
        <v>19</v>
      </c>
      <c r="J671">
        <v>7</v>
      </c>
      <c r="K671">
        <v>0</v>
      </c>
      <c r="L671">
        <v>7</v>
      </c>
      <c r="M671" s="5">
        <v>1.2</v>
      </c>
      <c r="N671" s="4">
        <f t="shared" si="10"/>
        <v>2.98</v>
      </c>
      <c r="O671">
        <f>HOUR(TIMEVALUE(RetailTransactions[[#This Row],[Time]]))</f>
        <v>14</v>
      </c>
    </row>
    <row r="672" spans="1:15">
      <c r="A672" t="s">
        <v>880</v>
      </c>
      <c r="B672" s="3">
        <v>46226</v>
      </c>
      <c r="C672" t="s">
        <v>267</v>
      </c>
      <c r="D672" t="s">
        <v>37</v>
      </c>
      <c r="E672" t="s">
        <v>115</v>
      </c>
      <c r="F672" t="s">
        <v>29</v>
      </c>
      <c r="G672">
        <v>1</v>
      </c>
      <c r="H672" s="4">
        <v>3.39</v>
      </c>
      <c r="I672" t="s">
        <v>30</v>
      </c>
      <c r="J672">
        <v>42</v>
      </c>
      <c r="K672">
        <v>0</v>
      </c>
      <c r="L672">
        <v>7</v>
      </c>
      <c r="M672" s="5">
        <v>5.8</v>
      </c>
      <c r="N672" s="4">
        <f t="shared" si="10"/>
        <v>3.39</v>
      </c>
      <c r="O672">
        <f>HOUR(TIMEVALUE(RetailTransactions[[#This Row],[Time]]))</f>
        <v>13</v>
      </c>
    </row>
    <row r="673" spans="1:15">
      <c r="A673" t="s">
        <v>881</v>
      </c>
      <c r="B673" s="3">
        <v>46200</v>
      </c>
      <c r="C673" t="s">
        <v>117</v>
      </c>
      <c r="D673" t="s">
        <v>66</v>
      </c>
      <c r="E673" t="s">
        <v>46</v>
      </c>
      <c r="F673" t="s">
        <v>24</v>
      </c>
      <c r="G673">
        <v>1</v>
      </c>
      <c r="H673" s="4">
        <v>1.79</v>
      </c>
      <c r="I673" t="s">
        <v>19</v>
      </c>
      <c r="J673">
        <v>22</v>
      </c>
      <c r="K673">
        <v>0</v>
      </c>
      <c r="L673">
        <v>6</v>
      </c>
      <c r="M673" s="5">
        <v>4.7</v>
      </c>
      <c r="N673" s="4">
        <f t="shared" si="10"/>
        <v>1.79</v>
      </c>
      <c r="O673">
        <f>HOUR(TIMEVALUE(RetailTransactions[[#This Row],[Time]]))</f>
        <v>18</v>
      </c>
    </row>
    <row r="674" spans="1:15">
      <c r="A674" t="s">
        <v>882</v>
      </c>
      <c r="B674" s="3">
        <v>46262</v>
      </c>
      <c r="C674" t="s">
        <v>335</v>
      </c>
      <c r="D674" t="s">
        <v>72</v>
      </c>
      <c r="E674" t="s">
        <v>120</v>
      </c>
      <c r="F674" t="s">
        <v>50</v>
      </c>
      <c r="G674">
        <v>1</v>
      </c>
      <c r="H674" s="4">
        <v>2.25</v>
      </c>
      <c r="I674" t="s">
        <v>19</v>
      </c>
      <c r="J674">
        <v>39</v>
      </c>
      <c r="K674">
        <v>0</v>
      </c>
      <c r="L674">
        <v>9</v>
      </c>
      <c r="M674" s="5">
        <v>4.5999999999999996</v>
      </c>
      <c r="N674" s="4">
        <f t="shared" si="10"/>
        <v>2.25</v>
      </c>
      <c r="O674">
        <f>HOUR(TIMEVALUE(RetailTransactions[[#This Row],[Time]]))</f>
        <v>18</v>
      </c>
    </row>
    <row r="675" spans="1:15">
      <c r="A675" t="s">
        <v>883</v>
      </c>
      <c r="B675" s="3">
        <v>46236</v>
      </c>
      <c r="C675" t="s">
        <v>230</v>
      </c>
      <c r="D675" t="s">
        <v>27</v>
      </c>
      <c r="E675" t="s">
        <v>115</v>
      </c>
      <c r="F675" t="s">
        <v>29</v>
      </c>
      <c r="G675">
        <v>2</v>
      </c>
      <c r="H675" s="4">
        <v>3.99</v>
      </c>
      <c r="I675" t="s">
        <v>19</v>
      </c>
      <c r="J675">
        <v>45</v>
      </c>
      <c r="K675">
        <v>0</v>
      </c>
      <c r="L675">
        <v>7</v>
      </c>
      <c r="M675" s="5">
        <v>6.6</v>
      </c>
      <c r="N675" s="4">
        <f t="shared" si="10"/>
        <v>7.98</v>
      </c>
      <c r="O675">
        <f>HOUR(TIMEVALUE(RetailTransactions[[#This Row],[Time]]))</f>
        <v>13</v>
      </c>
    </row>
    <row r="676" spans="1:15">
      <c r="A676" t="s">
        <v>884</v>
      </c>
      <c r="B676" s="3">
        <v>46203</v>
      </c>
      <c r="C676" t="s">
        <v>170</v>
      </c>
      <c r="D676" t="s">
        <v>22</v>
      </c>
      <c r="E676" t="s">
        <v>28</v>
      </c>
      <c r="F676" t="s">
        <v>29</v>
      </c>
      <c r="G676">
        <v>1</v>
      </c>
      <c r="H676" s="4">
        <v>3.29</v>
      </c>
      <c r="I676" t="s">
        <v>19</v>
      </c>
      <c r="J676">
        <v>22</v>
      </c>
      <c r="K676">
        <v>0</v>
      </c>
      <c r="L676">
        <v>7</v>
      </c>
      <c r="M676" s="5">
        <v>3.9</v>
      </c>
      <c r="N676" s="4">
        <f t="shared" si="10"/>
        <v>3.29</v>
      </c>
      <c r="O676">
        <f>HOUR(TIMEVALUE(RetailTransactions[[#This Row],[Time]]))</f>
        <v>13</v>
      </c>
    </row>
    <row r="677" spans="1:15">
      <c r="A677" t="s">
        <v>885</v>
      </c>
      <c r="B677" s="3">
        <v>46240</v>
      </c>
      <c r="C677" t="s">
        <v>77</v>
      </c>
      <c r="D677" t="s">
        <v>37</v>
      </c>
      <c r="E677" t="s">
        <v>17</v>
      </c>
      <c r="F677" t="s">
        <v>18</v>
      </c>
      <c r="G677">
        <v>3</v>
      </c>
      <c r="H677" s="4">
        <v>1.75</v>
      </c>
      <c r="I677" t="s">
        <v>19</v>
      </c>
      <c r="J677">
        <v>13</v>
      </c>
      <c r="K677">
        <v>0</v>
      </c>
      <c r="L677">
        <v>8</v>
      </c>
      <c r="M677" s="5">
        <v>5.6</v>
      </c>
      <c r="N677" s="4">
        <f t="shared" si="10"/>
        <v>5.25</v>
      </c>
      <c r="O677">
        <f>HOUR(TIMEVALUE(RetailTransactions[[#This Row],[Time]]))</f>
        <v>12</v>
      </c>
    </row>
    <row r="678" spans="1:15">
      <c r="A678" t="s">
        <v>886</v>
      </c>
      <c r="B678" s="3">
        <v>46177</v>
      </c>
      <c r="C678" t="s">
        <v>84</v>
      </c>
      <c r="D678" t="s">
        <v>37</v>
      </c>
      <c r="E678" t="s">
        <v>60</v>
      </c>
      <c r="F678" t="s">
        <v>29</v>
      </c>
      <c r="G678">
        <v>4</v>
      </c>
      <c r="H678" s="4">
        <v>2.29</v>
      </c>
      <c r="I678" t="s">
        <v>30</v>
      </c>
      <c r="J678">
        <v>40</v>
      </c>
      <c r="K678">
        <v>0</v>
      </c>
      <c r="L678">
        <v>7</v>
      </c>
      <c r="M678" s="5">
        <v>1.1000000000000001</v>
      </c>
      <c r="N678" s="4">
        <f t="shared" si="10"/>
        <v>9.16</v>
      </c>
      <c r="O678">
        <f>HOUR(TIMEVALUE(RetailTransactions[[#This Row],[Time]]))</f>
        <v>14</v>
      </c>
    </row>
    <row r="679" spans="1:15">
      <c r="A679" t="s">
        <v>887</v>
      </c>
      <c r="B679" s="3">
        <v>46228</v>
      </c>
      <c r="C679" t="s">
        <v>137</v>
      </c>
      <c r="D679" t="s">
        <v>66</v>
      </c>
      <c r="E679" t="s">
        <v>106</v>
      </c>
      <c r="F679" t="s">
        <v>18</v>
      </c>
      <c r="G679">
        <v>2</v>
      </c>
      <c r="H679" s="4">
        <v>1.89</v>
      </c>
      <c r="I679" t="s">
        <v>19</v>
      </c>
      <c r="J679">
        <v>55</v>
      </c>
      <c r="K679">
        <v>0</v>
      </c>
      <c r="L679">
        <v>7</v>
      </c>
      <c r="M679" s="5">
        <v>5.7</v>
      </c>
      <c r="N679" s="4">
        <f t="shared" si="10"/>
        <v>3.78</v>
      </c>
      <c r="O679">
        <f>HOUR(TIMEVALUE(RetailTransactions[[#This Row],[Time]]))</f>
        <v>13</v>
      </c>
    </row>
    <row r="680" spans="1:15">
      <c r="A680" t="s">
        <v>888</v>
      </c>
      <c r="B680" s="3">
        <v>46182</v>
      </c>
      <c r="C680" t="s">
        <v>101</v>
      </c>
      <c r="D680" t="s">
        <v>22</v>
      </c>
      <c r="E680" t="s">
        <v>60</v>
      </c>
      <c r="F680" t="s">
        <v>29</v>
      </c>
      <c r="G680">
        <v>1</v>
      </c>
      <c r="H680" s="4">
        <v>2.69</v>
      </c>
      <c r="I680" t="s">
        <v>19</v>
      </c>
      <c r="J680">
        <v>10</v>
      </c>
      <c r="K680">
        <v>0</v>
      </c>
      <c r="L680">
        <v>7</v>
      </c>
      <c r="M680" s="5">
        <v>1</v>
      </c>
      <c r="N680" s="4">
        <f t="shared" si="10"/>
        <v>2.69</v>
      </c>
      <c r="O680">
        <f>HOUR(TIMEVALUE(RetailTransactions[[#This Row],[Time]]))</f>
        <v>14</v>
      </c>
    </row>
    <row r="681" spans="1:15">
      <c r="A681" t="s">
        <v>889</v>
      </c>
      <c r="B681" s="3">
        <v>46196</v>
      </c>
      <c r="C681" t="s">
        <v>130</v>
      </c>
      <c r="D681" t="s">
        <v>22</v>
      </c>
      <c r="E681" t="s">
        <v>46</v>
      </c>
      <c r="F681" t="s">
        <v>24</v>
      </c>
      <c r="G681">
        <v>1</v>
      </c>
      <c r="H681" s="4">
        <v>1.52</v>
      </c>
      <c r="I681" t="s">
        <v>30</v>
      </c>
      <c r="J681">
        <v>32</v>
      </c>
      <c r="K681">
        <v>1</v>
      </c>
      <c r="L681">
        <v>6</v>
      </c>
      <c r="M681" s="5">
        <v>4.7</v>
      </c>
      <c r="N681" s="4">
        <f t="shared" si="10"/>
        <v>1.52</v>
      </c>
      <c r="O681">
        <f>HOUR(TIMEVALUE(RetailTransactions[[#This Row],[Time]]))</f>
        <v>19</v>
      </c>
    </row>
    <row r="682" spans="1:15">
      <c r="A682" t="s">
        <v>890</v>
      </c>
      <c r="B682" s="3">
        <v>46261</v>
      </c>
      <c r="C682" t="s">
        <v>200</v>
      </c>
      <c r="D682" t="s">
        <v>37</v>
      </c>
      <c r="E682" t="s">
        <v>42</v>
      </c>
      <c r="F682" t="s">
        <v>43</v>
      </c>
      <c r="G682">
        <v>1</v>
      </c>
      <c r="H682" s="4">
        <v>1.39</v>
      </c>
      <c r="I682" t="s">
        <v>19</v>
      </c>
      <c r="J682">
        <v>6</v>
      </c>
      <c r="K682">
        <v>0</v>
      </c>
      <c r="L682">
        <v>7</v>
      </c>
      <c r="M682" s="5">
        <v>2.2000000000000002</v>
      </c>
      <c r="N682" s="4">
        <f t="shared" si="10"/>
        <v>1.39</v>
      </c>
      <c r="O682">
        <f>HOUR(TIMEVALUE(RetailTransactions[[#This Row],[Time]]))</f>
        <v>9</v>
      </c>
    </row>
    <row r="683" spans="1:15">
      <c r="A683" t="s">
        <v>891</v>
      </c>
      <c r="B683" s="3">
        <v>46221</v>
      </c>
      <c r="C683" t="s">
        <v>168</v>
      </c>
      <c r="D683" t="s">
        <v>66</v>
      </c>
      <c r="E683" t="s">
        <v>60</v>
      </c>
      <c r="F683" t="s">
        <v>29</v>
      </c>
      <c r="G683">
        <v>3</v>
      </c>
      <c r="H683" s="4">
        <v>2.69</v>
      </c>
      <c r="I683" t="s">
        <v>19</v>
      </c>
      <c r="J683">
        <v>43</v>
      </c>
      <c r="K683">
        <v>1</v>
      </c>
      <c r="L683">
        <v>8</v>
      </c>
      <c r="M683" s="5">
        <v>4.7</v>
      </c>
      <c r="N683" s="4">
        <f t="shared" si="10"/>
        <v>8.07</v>
      </c>
      <c r="O683">
        <f>HOUR(TIMEVALUE(RetailTransactions[[#This Row],[Time]]))</f>
        <v>13</v>
      </c>
    </row>
    <row r="684" spans="1:15">
      <c r="A684" t="s">
        <v>892</v>
      </c>
      <c r="B684" s="3">
        <v>46187</v>
      </c>
      <c r="C684" t="s">
        <v>458</v>
      </c>
      <c r="D684" t="s">
        <v>27</v>
      </c>
      <c r="E684" t="s">
        <v>46</v>
      </c>
      <c r="F684" t="s">
        <v>24</v>
      </c>
      <c r="G684">
        <v>2</v>
      </c>
      <c r="H684" s="4">
        <v>1.79</v>
      </c>
      <c r="I684" t="s">
        <v>19</v>
      </c>
      <c r="J684">
        <v>15</v>
      </c>
      <c r="K684">
        <v>0</v>
      </c>
      <c r="L684">
        <v>8</v>
      </c>
      <c r="M684" s="5">
        <v>6.4</v>
      </c>
      <c r="N684" s="4">
        <f t="shared" si="10"/>
        <v>3.58</v>
      </c>
      <c r="O684">
        <f>HOUR(TIMEVALUE(RetailTransactions[[#This Row],[Time]]))</f>
        <v>13</v>
      </c>
    </row>
    <row r="685" spans="1:15">
      <c r="A685" t="s">
        <v>893</v>
      </c>
      <c r="B685" s="3">
        <v>46263</v>
      </c>
      <c r="C685" t="s">
        <v>314</v>
      </c>
      <c r="D685" t="s">
        <v>66</v>
      </c>
      <c r="E685" t="s">
        <v>85</v>
      </c>
      <c r="F685" t="s">
        <v>18</v>
      </c>
      <c r="G685">
        <v>1</v>
      </c>
      <c r="H685" s="4">
        <v>2.4900000000000002</v>
      </c>
      <c r="I685" t="s">
        <v>19</v>
      </c>
      <c r="J685">
        <v>10</v>
      </c>
      <c r="K685">
        <v>0</v>
      </c>
      <c r="L685">
        <v>4</v>
      </c>
      <c r="M685" s="5">
        <v>4.0999999999999996</v>
      </c>
      <c r="N685" s="4">
        <f t="shared" si="10"/>
        <v>2.4900000000000002</v>
      </c>
      <c r="O685">
        <f>HOUR(TIMEVALUE(RetailTransactions[[#This Row],[Time]]))</f>
        <v>14</v>
      </c>
    </row>
    <row r="686" spans="1:15">
      <c r="A686" t="s">
        <v>894</v>
      </c>
      <c r="B686" s="3">
        <v>46191</v>
      </c>
      <c r="C686" t="s">
        <v>895</v>
      </c>
      <c r="D686" t="s">
        <v>37</v>
      </c>
      <c r="E686" t="s">
        <v>46</v>
      </c>
      <c r="F686" t="s">
        <v>24</v>
      </c>
      <c r="G686">
        <v>2</v>
      </c>
      <c r="H686" s="4">
        <v>1.79</v>
      </c>
      <c r="I686" t="s">
        <v>19</v>
      </c>
      <c r="J686">
        <v>54</v>
      </c>
      <c r="K686">
        <v>0</v>
      </c>
      <c r="L686">
        <v>4</v>
      </c>
      <c r="M686" s="5">
        <v>3.1</v>
      </c>
      <c r="N686" s="4">
        <f t="shared" si="10"/>
        <v>3.58</v>
      </c>
      <c r="O686">
        <f>HOUR(TIMEVALUE(RetailTransactions[[#This Row],[Time]]))</f>
        <v>9</v>
      </c>
    </row>
    <row r="687" spans="1:15">
      <c r="A687" t="s">
        <v>896</v>
      </c>
      <c r="B687" s="3">
        <v>46263</v>
      </c>
      <c r="C687" t="s">
        <v>897</v>
      </c>
      <c r="D687" t="s">
        <v>66</v>
      </c>
      <c r="E687" t="s">
        <v>69</v>
      </c>
      <c r="F687" t="s">
        <v>43</v>
      </c>
      <c r="G687">
        <v>1</v>
      </c>
      <c r="H687" s="4">
        <v>1.99</v>
      </c>
      <c r="I687" t="s">
        <v>19</v>
      </c>
      <c r="J687">
        <v>21</v>
      </c>
      <c r="K687">
        <v>1</v>
      </c>
      <c r="L687">
        <v>5</v>
      </c>
      <c r="M687" s="5">
        <v>4.5</v>
      </c>
      <c r="N687" s="4">
        <f t="shared" si="10"/>
        <v>1.99</v>
      </c>
      <c r="O687">
        <f>HOUR(TIMEVALUE(RetailTransactions[[#This Row],[Time]]))</f>
        <v>8</v>
      </c>
    </row>
    <row r="688" spans="1:15">
      <c r="A688" t="s">
        <v>898</v>
      </c>
      <c r="B688" s="3">
        <v>46261</v>
      </c>
      <c r="C688" t="s">
        <v>460</v>
      </c>
      <c r="D688" t="s">
        <v>37</v>
      </c>
      <c r="E688" t="s">
        <v>17</v>
      </c>
      <c r="F688" t="s">
        <v>18</v>
      </c>
      <c r="G688">
        <v>1</v>
      </c>
      <c r="H688" s="4">
        <v>1.75</v>
      </c>
      <c r="I688" t="s">
        <v>19</v>
      </c>
      <c r="J688">
        <v>50</v>
      </c>
      <c r="K688">
        <v>0</v>
      </c>
      <c r="L688">
        <v>8</v>
      </c>
      <c r="M688" s="5">
        <v>4.8</v>
      </c>
      <c r="N688" s="4">
        <f t="shared" si="10"/>
        <v>1.75</v>
      </c>
      <c r="O688">
        <f>HOUR(TIMEVALUE(RetailTransactions[[#This Row],[Time]]))</f>
        <v>18</v>
      </c>
    </row>
    <row r="689" spans="1:15">
      <c r="A689" t="s">
        <v>899</v>
      </c>
      <c r="B689" s="3">
        <v>46210</v>
      </c>
      <c r="C689" t="s">
        <v>74</v>
      </c>
      <c r="D689" t="s">
        <v>22</v>
      </c>
      <c r="E689" t="s">
        <v>23</v>
      </c>
      <c r="F689" t="s">
        <v>24</v>
      </c>
      <c r="G689">
        <v>1</v>
      </c>
      <c r="H689" s="4">
        <v>0.95</v>
      </c>
      <c r="I689" t="s">
        <v>19</v>
      </c>
      <c r="J689">
        <v>26</v>
      </c>
      <c r="K689">
        <v>2</v>
      </c>
      <c r="L689">
        <v>6</v>
      </c>
      <c r="M689" s="5">
        <v>1.1000000000000001</v>
      </c>
      <c r="N689" s="4">
        <f t="shared" si="10"/>
        <v>0.95</v>
      </c>
      <c r="O689">
        <f>HOUR(TIMEVALUE(RetailTransactions[[#This Row],[Time]]))</f>
        <v>10</v>
      </c>
    </row>
    <row r="690" spans="1:15">
      <c r="A690" t="s">
        <v>900</v>
      </c>
      <c r="B690" s="3">
        <v>46191</v>
      </c>
      <c r="C690" t="s">
        <v>170</v>
      </c>
      <c r="D690" t="s">
        <v>37</v>
      </c>
      <c r="E690" t="s">
        <v>42</v>
      </c>
      <c r="F690" t="s">
        <v>43</v>
      </c>
      <c r="G690">
        <v>1</v>
      </c>
      <c r="H690" s="4">
        <v>1.39</v>
      </c>
      <c r="I690" t="s">
        <v>19</v>
      </c>
      <c r="J690">
        <v>30</v>
      </c>
      <c r="K690">
        <v>0</v>
      </c>
      <c r="L690">
        <v>8</v>
      </c>
      <c r="M690" s="5">
        <v>4.8</v>
      </c>
      <c r="N690" s="4">
        <f t="shared" si="10"/>
        <v>1.39</v>
      </c>
      <c r="O690">
        <f>HOUR(TIMEVALUE(RetailTransactions[[#This Row],[Time]]))</f>
        <v>13</v>
      </c>
    </row>
    <row r="691" spans="1:15">
      <c r="A691" t="s">
        <v>901</v>
      </c>
      <c r="B691" s="3">
        <v>46259</v>
      </c>
      <c r="C691" t="s">
        <v>45</v>
      </c>
      <c r="D691" t="s">
        <v>22</v>
      </c>
      <c r="E691" t="s">
        <v>38</v>
      </c>
      <c r="F691" t="s">
        <v>39</v>
      </c>
      <c r="G691">
        <v>2</v>
      </c>
      <c r="H691" s="4">
        <v>2.79</v>
      </c>
      <c r="I691" t="s">
        <v>19</v>
      </c>
      <c r="J691">
        <v>23</v>
      </c>
      <c r="K691">
        <v>0</v>
      </c>
      <c r="L691">
        <v>9</v>
      </c>
      <c r="M691" s="5">
        <v>5.6</v>
      </c>
      <c r="N691" s="4">
        <f t="shared" si="10"/>
        <v>5.58</v>
      </c>
      <c r="O691">
        <f>HOUR(TIMEVALUE(RetailTransactions[[#This Row],[Time]]))</f>
        <v>13</v>
      </c>
    </row>
    <row r="692" spans="1:15">
      <c r="A692" t="s">
        <v>902</v>
      </c>
      <c r="B692" s="3">
        <v>46242</v>
      </c>
      <c r="C692" t="s">
        <v>124</v>
      </c>
      <c r="D692" t="s">
        <v>66</v>
      </c>
      <c r="E692" t="s">
        <v>49</v>
      </c>
      <c r="F692" t="s">
        <v>50</v>
      </c>
      <c r="G692">
        <v>1</v>
      </c>
      <c r="H692" s="4">
        <v>3.95</v>
      </c>
      <c r="I692" t="s">
        <v>19</v>
      </c>
      <c r="J692">
        <v>3</v>
      </c>
      <c r="K692">
        <v>0</v>
      </c>
      <c r="L692">
        <v>9</v>
      </c>
      <c r="M692" s="5">
        <v>4.0999999999999996</v>
      </c>
      <c r="N692" s="4">
        <f t="shared" si="10"/>
        <v>3.95</v>
      </c>
      <c r="O692">
        <f>HOUR(TIMEVALUE(RetailTransactions[[#This Row],[Time]]))</f>
        <v>18</v>
      </c>
    </row>
    <row r="693" spans="1:15">
      <c r="A693" t="s">
        <v>903</v>
      </c>
      <c r="B693" s="3">
        <v>46237</v>
      </c>
      <c r="C693" t="s">
        <v>87</v>
      </c>
      <c r="D693" t="s">
        <v>33</v>
      </c>
      <c r="E693" t="s">
        <v>23</v>
      </c>
      <c r="F693" t="s">
        <v>24</v>
      </c>
      <c r="G693">
        <v>1</v>
      </c>
      <c r="H693" s="4">
        <v>0.95</v>
      </c>
      <c r="I693" t="s">
        <v>19</v>
      </c>
      <c r="J693">
        <v>43</v>
      </c>
      <c r="K693">
        <v>0</v>
      </c>
      <c r="L693">
        <v>8</v>
      </c>
      <c r="M693" s="5">
        <v>6.6</v>
      </c>
      <c r="N693" s="4">
        <f t="shared" si="10"/>
        <v>0.95</v>
      </c>
      <c r="O693">
        <f>HOUR(TIMEVALUE(RetailTransactions[[#This Row],[Time]]))</f>
        <v>19</v>
      </c>
    </row>
    <row r="694" spans="1:15">
      <c r="A694" t="s">
        <v>904</v>
      </c>
      <c r="B694" s="3">
        <v>46233</v>
      </c>
      <c r="C694" t="s">
        <v>355</v>
      </c>
      <c r="D694" t="s">
        <v>37</v>
      </c>
      <c r="E694" t="s">
        <v>115</v>
      </c>
      <c r="F694" t="s">
        <v>29</v>
      </c>
      <c r="G694">
        <v>1</v>
      </c>
      <c r="H694" s="4">
        <v>3.39</v>
      </c>
      <c r="I694" t="s">
        <v>30</v>
      </c>
      <c r="J694">
        <v>56</v>
      </c>
      <c r="K694">
        <v>0</v>
      </c>
      <c r="L694">
        <v>7</v>
      </c>
      <c r="M694" s="5">
        <v>5.4</v>
      </c>
      <c r="N694" s="4">
        <f t="shared" si="10"/>
        <v>3.39</v>
      </c>
      <c r="O694">
        <f>HOUR(TIMEVALUE(RetailTransactions[[#This Row],[Time]]))</f>
        <v>19</v>
      </c>
    </row>
    <row r="695" spans="1:15">
      <c r="A695" t="s">
        <v>905</v>
      </c>
      <c r="B695" s="3">
        <v>46181</v>
      </c>
      <c r="C695" t="s">
        <v>62</v>
      </c>
      <c r="D695" t="s">
        <v>33</v>
      </c>
      <c r="E695" t="s">
        <v>115</v>
      </c>
      <c r="F695" t="s">
        <v>29</v>
      </c>
      <c r="G695">
        <v>1</v>
      </c>
      <c r="H695" s="4">
        <v>3.99</v>
      </c>
      <c r="I695" t="s">
        <v>19</v>
      </c>
      <c r="J695">
        <v>59</v>
      </c>
      <c r="K695">
        <v>0</v>
      </c>
      <c r="L695">
        <v>8</v>
      </c>
      <c r="M695" s="5">
        <v>3.8</v>
      </c>
      <c r="N695" s="4">
        <f t="shared" si="10"/>
        <v>3.99</v>
      </c>
      <c r="O695">
        <f>HOUR(TIMEVALUE(RetailTransactions[[#This Row],[Time]]))</f>
        <v>18</v>
      </c>
    </row>
    <row r="696" spans="1:15">
      <c r="A696" t="s">
        <v>906</v>
      </c>
      <c r="B696" s="3">
        <v>46212</v>
      </c>
      <c r="C696" t="s">
        <v>325</v>
      </c>
      <c r="D696" t="s">
        <v>37</v>
      </c>
      <c r="E696" t="s">
        <v>106</v>
      </c>
      <c r="F696" t="s">
        <v>18</v>
      </c>
      <c r="G696">
        <v>1</v>
      </c>
      <c r="H696" s="4">
        <v>1.89</v>
      </c>
      <c r="I696" t="s">
        <v>19</v>
      </c>
      <c r="J696">
        <v>10</v>
      </c>
      <c r="K696">
        <v>0</v>
      </c>
      <c r="L696">
        <v>7</v>
      </c>
      <c r="M696" s="5">
        <v>1.9</v>
      </c>
      <c r="N696" s="4">
        <f t="shared" si="10"/>
        <v>1.89</v>
      </c>
      <c r="O696">
        <f>HOUR(TIMEVALUE(RetailTransactions[[#This Row],[Time]]))</f>
        <v>21</v>
      </c>
    </row>
    <row r="697" spans="1:15">
      <c r="A697" t="s">
        <v>907</v>
      </c>
      <c r="B697" s="3">
        <v>46263</v>
      </c>
      <c r="C697" t="s">
        <v>415</v>
      </c>
      <c r="D697" t="s">
        <v>66</v>
      </c>
      <c r="E697" t="s">
        <v>120</v>
      </c>
      <c r="F697" t="s">
        <v>50</v>
      </c>
      <c r="G697">
        <v>1</v>
      </c>
      <c r="H697" s="4">
        <v>2.25</v>
      </c>
      <c r="I697" t="s">
        <v>19</v>
      </c>
      <c r="J697">
        <v>17</v>
      </c>
      <c r="K697">
        <v>0</v>
      </c>
      <c r="L697">
        <v>4</v>
      </c>
      <c r="M697" s="5">
        <v>3.7</v>
      </c>
      <c r="N697" s="4">
        <f t="shared" si="10"/>
        <v>2.25</v>
      </c>
      <c r="O697">
        <f>HOUR(TIMEVALUE(RetailTransactions[[#This Row],[Time]]))</f>
        <v>14</v>
      </c>
    </row>
    <row r="698" spans="1:15">
      <c r="A698" t="s">
        <v>908</v>
      </c>
      <c r="B698" s="3">
        <v>46192</v>
      </c>
      <c r="C698" t="s">
        <v>176</v>
      </c>
      <c r="D698" t="s">
        <v>72</v>
      </c>
      <c r="E698" t="s">
        <v>120</v>
      </c>
      <c r="F698" t="s">
        <v>50</v>
      </c>
      <c r="G698">
        <v>2</v>
      </c>
      <c r="H698" s="4">
        <v>2.25</v>
      </c>
      <c r="I698" t="s">
        <v>19</v>
      </c>
      <c r="J698">
        <v>45</v>
      </c>
      <c r="K698">
        <v>0</v>
      </c>
      <c r="L698">
        <v>7</v>
      </c>
      <c r="M698" s="5">
        <v>2.6</v>
      </c>
      <c r="N698" s="4">
        <f t="shared" si="10"/>
        <v>4.5</v>
      </c>
      <c r="O698">
        <f>HOUR(TIMEVALUE(RetailTransactions[[#This Row],[Time]]))</f>
        <v>11</v>
      </c>
    </row>
    <row r="699" spans="1:15">
      <c r="A699" t="s">
        <v>909</v>
      </c>
      <c r="B699" s="3">
        <v>46229</v>
      </c>
      <c r="C699" t="s">
        <v>355</v>
      </c>
      <c r="D699" t="s">
        <v>27</v>
      </c>
      <c r="E699" t="s">
        <v>120</v>
      </c>
      <c r="F699" t="s">
        <v>50</v>
      </c>
      <c r="G699">
        <v>1</v>
      </c>
      <c r="H699" s="4">
        <v>2.25</v>
      </c>
      <c r="I699" t="s">
        <v>19</v>
      </c>
      <c r="J699">
        <v>42</v>
      </c>
      <c r="K699">
        <v>0</v>
      </c>
      <c r="L699">
        <v>9</v>
      </c>
      <c r="M699" s="5">
        <v>5.3</v>
      </c>
      <c r="N699" s="4">
        <f t="shared" si="10"/>
        <v>2.25</v>
      </c>
      <c r="O699">
        <f>HOUR(TIMEVALUE(RetailTransactions[[#This Row],[Time]]))</f>
        <v>19</v>
      </c>
    </row>
    <row r="700" spans="1:15">
      <c r="A700" t="s">
        <v>910</v>
      </c>
      <c r="B700" s="3">
        <v>46196</v>
      </c>
      <c r="C700" t="s">
        <v>335</v>
      </c>
      <c r="D700" t="s">
        <v>22</v>
      </c>
      <c r="E700" t="s">
        <v>38</v>
      </c>
      <c r="F700" t="s">
        <v>39</v>
      </c>
      <c r="G700">
        <v>2</v>
      </c>
      <c r="H700" s="4">
        <v>2.79</v>
      </c>
      <c r="I700" t="s">
        <v>19</v>
      </c>
      <c r="J700">
        <v>22</v>
      </c>
      <c r="K700">
        <v>0</v>
      </c>
      <c r="L700">
        <v>8</v>
      </c>
      <c r="M700" s="5">
        <v>4.8</v>
      </c>
      <c r="N700" s="4">
        <f t="shared" si="10"/>
        <v>5.58</v>
      </c>
      <c r="O700">
        <f>HOUR(TIMEVALUE(RetailTransactions[[#This Row],[Time]]))</f>
        <v>18</v>
      </c>
    </row>
    <row r="701" spans="1:15">
      <c r="A701" t="s">
        <v>911</v>
      </c>
      <c r="B701" s="3">
        <v>46226</v>
      </c>
      <c r="C701" t="s">
        <v>181</v>
      </c>
      <c r="D701" t="s">
        <v>37</v>
      </c>
      <c r="E701" t="s">
        <v>46</v>
      </c>
      <c r="F701" t="s">
        <v>24</v>
      </c>
      <c r="G701">
        <v>3</v>
      </c>
      <c r="H701" s="4">
        <v>1.79</v>
      </c>
      <c r="I701" t="s">
        <v>19</v>
      </c>
      <c r="J701">
        <v>51</v>
      </c>
      <c r="K701">
        <v>3</v>
      </c>
      <c r="L701">
        <v>7</v>
      </c>
      <c r="M701" s="5">
        <v>2.8</v>
      </c>
      <c r="N701" s="4">
        <f t="shared" si="10"/>
        <v>5.37</v>
      </c>
      <c r="O701">
        <f>HOUR(TIMEVALUE(RetailTransactions[[#This Row],[Time]]))</f>
        <v>9</v>
      </c>
    </row>
    <row r="702" spans="1:15">
      <c r="A702" t="s">
        <v>912</v>
      </c>
      <c r="B702" s="3">
        <v>46179</v>
      </c>
      <c r="C702" t="s">
        <v>307</v>
      </c>
      <c r="D702" t="s">
        <v>66</v>
      </c>
      <c r="E702" t="s">
        <v>42</v>
      </c>
      <c r="F702" t="s">
        <v>43</v>
      </c>
      <c r="G702">
        <v>3</v>
      </c>
      <c r="H702" s="4">
        <v>1.39</v>
      </c>
      <c r="I702" t="s">
        <v>19</v>
      </c>
      <c r="J702">
        <v>34</v>
      </c>
      <c r="K702">
        <v>0</v>
      </c>
      <c r="L702">
        <v>8</v>
      </c>
      <c r="M702" s="5">
        <v>3.6</v>
      </c>
      <c r="N702" s="4">
        <f t="shared" si="10"/>
        <v>4.17</v>
      </c>
      <c r="O702">
        <f>HOUR(TIMEVALUE(RetailTransactions[[#This Row],[Time]]))</f>
        <v>19</v>
      </c>
    </row>
    <row r="703" spans="1:15">
      <c r="A703" t="s">
        <v>913</v>
      </c>
      <c r="B703" s="3">
        <v>46220</v>
      </c>
      <c r="C703" t="s">
        <v>269</v>
      </c>
      <c r="D703" t="s">
        <v>72</v>
      </c>
      <c r="E703" t="s">
        <v>115</v>
      </c>
      <c r="F703" t="s">
        <v>29</v>
      </c>
      <c r="G703">
        <v>1</v>
      </c>
      <c r="H703" s="4">
        <v>3.99</v>
      </c>
      <c r="I703" t="s">
        <v>19</v>
      </c>
      <c r="J703">
        <v>57</v>
      </c>
      <c r="K703">
        <v>0</v>
      </c>
      <c r="L703">
        <v>9</v>
      </c>
      <c r="M703" s="5">
        <v>6.7</v>
      </c>
      <c r="N703" s="4">
        <f t="shared" si="10"/>
        <v>3.99</v>
      </c>
      <c r="O703">
        <f>HOUR(TIMEVALUE(RetailTransactions[[#This Row],[Time]]))</f>
        <v>17</v>
      </c>
    </row>
    <row r="704" spans="1:15">
      <c r="A704" t="s">
        <v>914</v>
      </c>
      <c r="B704" s="3">
        <v>46246</v>
      </c>
      <c r="C704" t="s">
        <v>355</v>
      </c>
      <c r="D704" t="s">
        <v>16</v>
      </c>
      <c r="E704" t="s">
        <v>60</v>
      </c>
      <c r="F704" t="s">
        <v>29</v>
      </c>
      <c r="G704">
        <v>1</v>
      </c>
      <c r="H704" s="4">
        <v>2.69</v>
      </c>
      <c r="I704" t="s">
        <v>19</v>
      </c>
      <c r="J704">
        <v>9</v>
      </c>
      <c r="K704">
        <v>0</v>
      </c>
      <c r="L704">
        <v>9</v>
      </c>
      <c r="M704" s="5">
        <v>6.1</v>
      </c>
      <c r="N704" s="4">
        <f t="shared" si="10"/>
        <v>2.69</v>
      </c>
      <c r="O704">
        <f>HOUR(TIMEVALUE(RetailTransactions[[#This Row],[Time]]))</f>
        <v>19</v>
      </c>
    </row>
    <row r="705" spans="1:15">
      <c r="A705" t="s">
        <v>915</v>
      </c>
      <c r="B705" s="3">
        <v>46200</v>
      </c>
      <c r="C705" t="s">
        <v>168</v>
      </c>
      <c r="D705" t="s">
        <v>66</v>
      </c>
      <c r="E705" t="s">
        <v>78</v>
      </c>
      <c r="F705" t="s">
        <v>39</v>
      </c>
      <c r="G705">
        <v>2</v>
      </c>
      <c r="H705" s="4">
        <v>1.32</v>
      </c>
      <c r="I705" t="s">
        <v>30</v>
      </c>
      <c r="J705">
        <v>17</v>
      </c>
      <c r="K705">
        <v>0</v>
      </c>
      <c r="L705">
        <v>7</v>
      </c>
      <c r="M705" s="5">
        <v>4.4000000000000004</v>
      </c>
      <c r="N705" s="4">
        <f t="shared" si="10"/>
        <v>2.64</v>
      </c>
      <c r="O705">
        <f>HOUR(TIMEVALUE(RetailTransactions[[#This Row],[Time]]))</f>
        <v>13</v>
      </c>
    </row>
    <row r="706" spans="1:15">
      <c r="A706" t="s">
        <v>916</v>
      </c>
      <c r="B706" s="3">
        <v>46213</v>
      </c>
      <c r="C706" t="s">
        <v>101</v>
      </c>
      <c r="D706" t="s">
        <v>72</v>
      </c>
      <c r="E706" t="s">
        <v>106</v>
      </c>
      <c r="F706" t="s">
        <v>18</v>
      </c>
      <c r="G706">
        <v>2</v>
      </c>
      <c r="H706" s="4">
        <v>1.61</v>
      </c>
      <c r="I706" t="s">
        <v>30</v>
      </c>
      <c r="J706">
        <v>19</v>
      </c>
      <c r="K706">
        <v>0</v>
      </c>
      <c r="L706">
        <v>4</v>
      </c>
      <c r="M706" s="5">
        <v>5</v>
      </c>
      <c r="N706" s="4">
        <f t="shared" ref="N706:N769" si="11">G706*H706</f>
        <v>3.22</v>
      </c>
      <c r="O706">
        <f>HOUR(TIMEVALUE(RetailTransactions[[#This Row],[Time]]))</f>
        <v>14</v>
      </c>
    </row>
    <row r="707" spans="1:15">
      <c r="A707" t="s">
        <v>917</v>
      </c>
      <c r="B707" s="3">
        <v>46201</v>
      </c>
      <c r="C707" t="s">
        <v>168</v>
      </c>
      <c r="D707" t="s">
        <v>27</v>
      </c>
      <c r="E707" t="s">
        <v>115</v>
      </c>
      <c r="F707" t="s">
        <v>29</v>
      </c>
      <c r="G707">
        <v>3</v>
      </c>
      <c r="H707" s="4">
        <v>3.99</v>
      </c>
      <c r="I707" t="s">
        <v>19</v>
      </c>
      <c r="J707">
        <v>25</v>
      </c>
      <c r="K707">
        <v>0</v>
      </c>
      <c r="L707">
        <v>6</v>
      </c>
      <c r="M707" s="5">
        <v>4.0999999999999996</v>
      </c>
      <c r="N707" s="4">
        <f t="shared" si="11"/>
        <v>11.97</v>
      </c>
      <c r="O707">
        <f>HOUR(TIMEVALUE(RetailTransactions[[#This Row],[Time]]))</f>
        <v>13</v>
      </c>
    </row>
    <row r="708" spans="1:15">
      <c r="A708" t="s">
        <v>918</v>
      </c>
      <c r="B708" s="3">
        <v>46245</v>
      </c>
      <c r="C708" t="s">
        <v>919</v>
      </c>
      <c r="D708" t="s">
        <v>22</v>
      </c>
      <c r="E708" t="s">
        <v>125</v>
      </c>
      <c r="F708" t="s">
        <v>39</v>
      </c>
      <c r="G708">
        <v>3</v>
      </c>
      <c r="H708" s="4">
        <v>1.85</v>
      </c>
      <c r="I708" t="s">
        <v>19</v>
      </c>
      <c r="J708">
        <v>53</v>
      </c>
      <c r="K708">
        <v>0</v>
      </c>
      <c r="L708">
        <v>5</v>
      </c>
      <c r="M708" s="5">
        <v>3.7</v>
      </c>
      <c r="N708" s="4">
        <f t="shared" si="11"/>
        <v>5.5500000000000007</v>
      </c>
      <c r="O708">
        <f>HOUR(TIMEVALUE(RetailTransactions[[#This Row],[Time]]))</f>
        <v>20</v>
      </c>
    </row>
    <row r="709" spans="1:15">
      <c r="A709" t="s">
        <v>920</v>
      </c>
      <c r="B709" s="3">
        <v>46213</v>
      </c>
      <c r="C709" t="s">
        <v>117</v>
      </c>
      <c r="D709" t="s">
        <v>72</v>
      </c>
      <c r="E709" t="s">
        <v>46</v>
      </c>
      <c r="F709" t="s">
        <v>24</v>
      </c>
      <c r="G709">
        <v>3</v>
      </c>
      <c r="H709" s="4">
        <v>1.52</v>
      </c>
      <c r="I709" t="s">
        <v>30</v>
      </c>
      <c r="J709">
        <v>17</v>
      </c>
      <c r="K709">
        <v>0</v>
      </c>
      <c r="L709">
        <v>9</v>
      </c>
      <c r="M709" s="5">
        <v>6</v>
      </c>
      <c r="N709" s="4">
        <f t="shared" si="11"/>
        <v>4.5600000000000005</v>
      </c>
      <c r="O709">
        <f>HOUR(TIMEVALUE(RetailTransactions[[#This Row],[Time]]))</f>
        <v>18</v>
      </c>
    </row>
    <row r="710" spans="1:15">
      <c r="A710" t="s">
        <v>921</v>
      </c>
      <c r="B710" s="3">
        <v>46180</v>
      </c>
      <c r="C710" t="s">
        <v>108</v>
      </c>
      <c r="D710" t="s">
        <v>27</v>
      </c>
      <c r="E710" t="s">
        <v>17</v>
      </c>
      <c r="F710" t="s">
        <v>18</v>
      </c>
      <c r="G710">
        <v>2</v>
      </c>
      <c r="H710" s="4">
        <v>1.75</v>
      </c>
      <c r="I710" t="s">
        <v>19</v>
      </c>
      <c r="J710">
        <v>17</v>
      </c>
      <c r="K710">
        <v>0</v>
      </c>
      <c r="L710">
        <v>7</v>
      </c>
      <c r="M710" s="5">
        <v>2.8</v>
      </c>
      <c r="N710" s="4">
        <f t="shared" si="11"/>
        <v>3.5</v>
      </c>
      <c r="O710">
        <f>HOUR(TIMEVALUE(RetailTransactions[[#This Row],[Time]]))</f>
        <v>14</v>
      </c>
    </row>
    <row r="711" spans="1:15">
      <c r="A711" t="s">
        <v>922</v>
      </c>
      <c r="B711" s="3">
        <v>46176</v>
      </c>
      <c r="C711" t="s">
        <v>15</v>
      </c>
      <c r="D711" t="s">
        <v>16</v>
      </c>
      <c r="E711" t="s">
        <v>60</v>
      </c>
      <c r="F711" t="s">
        <v>29</v>
      </c>
      <c r="G711">
        <v>1</v>
      </c>
      <c r="H711" s="4">
        <v>2.69</v>
      </c>
      <c r="I711" t="s">
        <v>19</v>
      </c>
      <c r="J711">
        <v>23</v>
      </c>
      <c r="K711">
        <v>0</v>
      </c>
      <c r="L711">
        <v>4</v>
      </c>
      <c r="M711" s="5">
        <v>5</v>
      </c>
      <c r="N711" s="4">
        <f t="shared" si="11"/>
        <v>2.69</v>
      </c>
      <c r="O711">
        <f>HOUR(TIMEVALUE(RetailTransactions[[#This Row],[Time]]))</f>
        <v>16</v>
      </c>
    </row>
    <row r="712" spans="1:15">
      <c r="A712" t="s">
        <v>923</v>
      </c>
      <c r="B712" s="3">
        <v>46186</v>
      </c>
      <c r="C712" t="s">
        <v>156</v>
      </c>
      <c r="D712" t="s">
        <v>66</v>
      </c>
      <c r="E712" t="s">
        <v>125</v>
      </c>
      <c r="F712" t="s">
        <v>39</v>
      </c>
      <c r="G712">
        <v>2</v>
      </c>
      <c r="H712" s="4">
        <v>1.85</v>
      </c>
      <c r="I712" t="s">
        <v>19</v>
      </c>
      <c r="J712">
        <v>21</v>
      </c>
      <c r="K712">
        <v>0</v>
      </c>
      <c r="L712">
        <v>4</v>
      </c>
      <c r="M712" s="5">
        <v>4.5</v>
      </c>
      <c r="N712" s="4">
        <f t="shared" si="11"/>
        <v>3.7</v>
      </c>
      <c r="O712">
        <f>HOUR(TIMEVALUE(RetailTransactions[[#This Row],[Time]]))</f>
        <v>16</v>
      </c>
    </row>
    <row r="713" spans="1:15">
      <c r="A713" t="s">
        <v>924</v>
      </c>
      <c r="B713" s="3">
        <v>46205</v>
      </c>
      <c r="C713" t="s">
        <v>163</v>
      </c>
      <c r="D713" t="s">
        <v>37</v>
      </c>
      <c r="E713" t="s">
        <v>57</v>
      </c>
      <c r="F713" t="s">
        <v>43</v>
      </c>
      <c r="G713">
        <v>2</v>
      </c>
      <c r="H713" s="4">
        <v>1.69</v>
      </c>
      <c r="I713" t="s">
        <v>19</v>
      </c>
      <c r="J713">
        <v>46</v>
      </c>
      <c r="K713">
        <v>1</v>
      </c>
      <c r="L713">
        <v>8</v>
      </c>
      <c r="M713" s="5">
        <v>5.9</v>
      </c>
      <c r="N713" s="4">
        <f t="shared" si="11"/>
        <v>3.38</v>
      </c>
      <c r="O713">
        <f>HOUR(TIMEVALUE(RetailTransactions[[#This Row],[Time]]))</f>
        <v>17</v>
      </c>
    </row>
    <row r="714" spans="1:15">
      <c r="A714" t="s">
        <v>925</v>
      </c>
      <c r="B714" s="3">
        <v>46228</v>
      </c>
      <c r="C714" t="s">
        <v>156</v>
      </c>
      <c r="D714" t="s">
        <v>66</v>
      </c>
      <c r="E714" t="s">
        <v>60</v>
      </c>
      <c r="F714" t="s">
        <v>29</v>
      </c>
      <c r="G714">
        <v>1</v>
      </c>
      <c r="H714" s="4">
        <v>2.69</v>
      </c>
      <c r="I714" t="s">
        <v>19</v>
      </c>
      <c r="J714">
        <v>51</v>
      </c>
      <c r="K714">
        <v>0</v>
      </c>
      <c r="L714">
        <v>7</v>
      </c>
      <c r="M714" s="5">
        <v>2.2000000000000002</v>
      </c>
      <c r="N714" s="4">
        <f t="shared" si="11"/>
        <v>2.69</v>
      </c>
      <c r="O714">
        <f>HOUR(TIMEVALUE(RetailTransactions[[#This Row],[Time]]))</f>
        <v>16</v>
      </c>
    </row>
    <row r="715" spans="1:15">
      <c r="A715" t="s">
        <v>926</v>
      </c>
      <c r="B715" s="3">
        <v>46204</v>
      </c>
      <c r="C715" t="s">
        <v>77</v>
      </c>
      <c r="D715" t="s">
        <v>16</v>
      </c>
      <c r="E715" t="s">
        <v>46</v>
      </c>
      <c r="F715" t="s">
        <v>24</v>
      </c>
      <c r="G715">
        <v>1</v>
      </c>
      <c r="H715" s="4">
        <v>1.52</v>
      </c>
      <c r="I715" t="s">
        <v>30</v>
      </c>
      <c r="J715">
        <v>55</v>
      </c>
      <c r="K715">
        <v>0</v>
      </c>
      <c r="L715">
        <v>9</v>
      </c>
      <c r="M715" s="5">
        <v>4.3</v>
      </c>
      <c r="N715" s="4">
        <f t="shared" si="11"/>
        <v>1.52</v>
      </c>
      <c r="O715">
        <f>HOUR(TIMEVALUE(RetailTransactions[[#This Row],[Time]]))</f>
        <v>12</v>
      </c>
    </row>
    <row r="716" spans="1:15">
      <c r="A716" t="s">
        <v>927</v>
      </c>
      <c r="B716" s="3">
        <v>46258</v>
      </c>
      <c r="C716" t="s">
        <v>89</v>
      </c>
      <c r="D716" t="s">
        <v>33</v>
      </c>
      <c r="E716" t="s">
        <v>42</v>
      </c>
      <c r="F716" t="s">
        <v>43</v>
      </c>
      <c r="G716">
        <v>1</v>
      </c>
      <c r="H716" s="4">
        <v>1.39</v>
      </c>
      <c r="I716" t="s">
        <v>19</v>
      </c>
      <c r="J716">
        <v>51</v>
      </c>
      <c r="K716">
        <v>1</v>
      </c>
      <c r="L716">
        <v>7</v>
      </c>
      <c r="M716" s="5">
        <v>2.8</v>
      </c>
      <c r="N716" s="4">
        <f t="shared" si="11"/>
        <v>1.39</v>
      </c>
      <c r="O716">
        <f>HOUR(TIMEVALUE(RetailTransactions[[#This Row],[Time]]))</f>
        <v>14</v>
      </c>
    </row>
    <row r="717" spans="1:15">
      <c r="A717" t="s">
        <v>928</v>
      </c>
      <c r="B717" s="3">
        <v>46185</v>
      </c>
      <c r="C717" t="s">
        <v>447</v>
      </c>
      <c r="D717" t="s">
        <v>72</v>
      </c>
      <c r="E717" t="s">
        <v>23</v>
      </c>
      <c r="F717" t="s">
        <v>24</v>
      </c>
      <c r="G717">
        <v>1</v>
      </c>
      <c r="H717" s="4">
        <v>0.81</v>
      </c>
      <c r="I717" t="s">
        <v>30</v>
      </c>
      <c r="J717">
        <v>46</v>
      </c>
      <c r="K717">
        <v>0</v>
      </c>
      <c r="L717">
        <v>5</v>
      </c>
      <c r="M717" s="5">
        <v>3.7</v>
      </c>
      <c r="N717" s="4">
        <f t="shared" si="11"/>
        <v>0.81</v>
      </c>
      <c r="O717">
        <f>HOUR(TIMEVALUE(RetailTransactions[[#This Row],[Time]]))</f>
        <v>11</v>
      </c>
    </row>
    <row r="718" spans="1:15">
      <c r="A718" t="s">
        <v>929</v>
      </c>
      <c r="B718" s="3">
        <v>46221</v>
      </c>
      <c r="C718" t="s">
        <v>258</v>
      </c>
      <c r="D718" t="s">
        <v>66</v>
      </c>
      <c r="E718" t="s">
        <v>23</v>
      </c>
      <c r="F718" t="s">
        <v>24</v>
      </c>
      <c r="G718">
        <v>1</v>
      </c>
      <c r="H718" s="4">
        <v>0.95</v>
      </c>
      <c r="I718" t="s">
        <v>19</v>
      </c>
      <c r="J718">
        <v>17</v>
      </c>
      <c r="K718">
        <v>0</v>
      </c>
      <c r="L718">
        <v>4</v>
      </c>
      <c r="M718" s="5">
        <v>5</v>
      </c>
      <c r="N718" s="4">
        <f t="shared" si="11"/>
        <v>0.95</v>
      </c>
      <c r="O718">
        <f>HOUR(TIMEVALUE(RetailTransactions[[#This Row],[Time]]))</f>
        <v>16</v>
      </c>
    </row>
    <row r="719" spans="1:15">
      <c r="A719" t="s">
        <v>930</v>
      </c>
      <c r="B719" s="3">
        <v>46219</v>
      </c>
      <c r="C719" t="s">
        <v>590</v>
      </c>
      <c r="D719" t="s">
        <v>37</v>
      </c>
      <c r="E719" t="s">
        <v>69</v>
      </c>
      <c r="F719" t="s">
        <v>43</v>
      </c>
      <c r="G719">
        <v>1</v>
      </c>
      <c r="H719" s="4">
        <v>1.99</v>
      </c>
      <c r="I719" t="s">
        <v>19</v>
      </c>
      <c r="J719">
        <v>45</v>
      </c>
      <c r="K719">
        <v>0</v>
      </c>
      <c r="L719">
        <v>8</v>
      </c>
      <c r="M719" s="5">
        <v>6.3</v>
      </c>
      <c r="N719" s="4">
        <f t="shared" si="11"/>
        <v>1.99</v>
      </c>
      <c r="O719">
        <f>HOUR(TIMEVALUE(RetailTransactions[[#This Row],[Time]]))</f>
        <v>12</v>
      </c>
    </row>
    <row r="720" spans="1:15">
      <c r="A720" t="s">
        <v>931</v>
      </c>
      <c r="B720" s="3">
        <v>46198</v>
      </c>
      <c r="C720" t="s">
        <v>26</v>
      </c>
      <c r="D720" t="s">
        <v>37</v>
      </c>
      <c r="E720" t="s">
        <v>69</v>
      </c>
      <c r="F720" t="s">
        <v>43</v>
      </c>
      <c r="G720">
        <v>1</v>
      </c>
      <c r="H720" s="4">
        <v>1.99</v>
      </c>
      <c r="I720" t="s">
        <v>19</v>
      </c>
      <c r="J720">
        <v>21</v>
      </c>
      <c r="K720">
        <v>0</v>
      </c>
      <c r="L720">
        <v>8</v>
      </c>
      <c r="M720" s="5">
        <v>5.2</v>
      </c>
      <c r="N720" s="4">
        <f t="shared" si="11"/>
        <v>1.99</v>
      </c>
      <c r="O720">
        <f>HOUR(TIMEVALUE(RetailTransactions[[#This Row],[Time]]))</f>
        <v>13</v>
      </c>
    </row>
    <row r="721" spans="1:15">
      <c r="A721" t="s">
        <v>932</v>
      </c>
      <c r="B721" s="3">
        <v>46254</v>
      </c>
      <c r="C721" t="s">
        <v>132</v>
      </c>
      <c r="D721" t="s">
        <v>37</v>
      </c>
      <c r="E721" t="s">
        <v>125</v>
      </c>
      <c r="F721" t="s">
        <v>39</v>
      </c>
      <c r="G721">
        <v>2</v>
      </c>
      <c r="H721" s="4">
        <v>1.57</v>
      </c>
      <c r="I721" t="s">
        <v>30</v>
      </c>
      <c r="J721">
        <v>48</v>
      </c>
      <c r="K721">
        <v>0</v>
      </c>
      <c r="L721">
        <v>6</v>
      </c>
      <c r="M721" s="5">
        <v>6.1</v>
      </c>
      <c r="N721" s="4">
        <f t="shared" si="11"/>
        <v>3.14</v>
      </c>
      <c r="O721">
        <f>HOUR(TIMEVALUE(RetailTransactions[[#This Row],[Time]]))</f>
        <v>19</v>
      </c>
    </row>
    <row r="722" spans="1:15">
      <c r="A722" t="s">
        <v>933</v>
      </c>
      <c r="B722" s="3">
        <v>46201</v>
      </c>
      <c r="C722" t="s">
        <v>202</v>
      </c>
      <c r="D722" t="s">
        <v>27</v>
      </c>
      <c r="E722" t="s">
        <v>85</v>
      </c>
      <c r="F722" t="s">
        <v>18</v>
      </c>
      <c r="G722">
        <v>1</v>
      </c>
      <c r="H722" s="4">
        <v>2.4900000000000002</v>
      </c>
      <c r="I722" t="s">
        <v>19</v>
      </c>
      <c r="J722">
        <v>10</v>
      </c>
      <c r="K722">
        <v>0</v>
      </c>
      <c r="L722">
        <v>7</v>
      </c>
      <c r="M722" s="5">
        <v>5.4</v>
      </c>
      <c r="N722" s="4">
        <f t="shared" si="11"/>
        <v>2.4900000000000002</v>
      </c>
      <c r="O722">
        <f>HOUR(TIMEVALUE(RetailTransactions[[#This Row],[Time]]))</f>
        <v>13</v>
      </c>
    </row>
    <row r="723" spans="1:15">
      <c r="A723" t="s">
        <v>934</v>
      </c>
      <c r="B723" s="3">
        <v>46231</v>
      </c>
      <c r="C723" t="s">
        <v>26</v>
      </c>
      <c r="D723" t="s">
        <v>22</v>
      </c>
      <c r="E723" t="s">
        <v>69</v>
      </c>
      <c r="F723" t="s">
        <v>43</v>
      </c>
      <c r="G723">
        <v>2</v>
      </c>
      <c r="H723" s="4">
        <v>1.99</v>
      </c>
      <c r="I723" t="s">
        <v>19</v>
      </c>
      <c r="J723">
        <v>59</v>
      </c>
      <c r="K723">
        <v>2</v>
      </c>
      <c r="L723">
        <v>9</v>
      </c>
      <c r="M723" s="5">
        <v>5.9</v>
      </c>
      <c r="N723" s="4">
        <f t="shared" si="11"/>
        <v>3.98</v>
      </c>
      <c r="O723">
        <f>HOUR(TIMEVALUE(RetailTransactions[[#This Row],[Time]]))</f>
        <v>13</v>
      </c>
    </row>
    <row r="724" spans="1:15">
      <c r="A724" t="s">
        <v>935</v>
      </c>
      <c r="B724" s="3">
        <v>46188</v>
      </c>
      <c r="C724" t="s">
        <v>108</v>
      </c>
      <c r="D724" t="s">
        <v>33</v>
      </c>
      <c r="E724" t="s">
        <v>115</v>
      </c>
      <c r="F724" t="s">
        <v>29</v>
      </c>
      <c r="G724">
        <v>3</v>
      </c>
      <c r="H724" s="4">
        <v>3.39</v>
      </c>
      <c r="I724" t="s">
        <v>30</v>
      </c>
      <c r="J724">
        <v>12</v>
      </c>
      <c r="K724">
        <v>0</v>
      </c>
      <c r="L724">
        <v>4</v>
      </c>
      <c r="M724" s="5">
        <v>3.4</v>
      </c>
      <c r="N724" s="4">
        <f t="shared" si="11"/>
        <v>10.17</v>
      </c>
      <c r="O724">
        <f>HOUR(TIMEVALUE(RetailTransactions[[#This Row],[Time]]))</f>
        <v>14</v>
      </c>
    </row>
    <row r="725" spans="1:15">
      <c r="A725" t="s">
        <v>936</v>
      </c>
      <c r="B725" s="3">
        <v>46242</v>
      </c>
      <c r="C725" t="s">
        <v>130</v>
      </c>
      <c r="D725" t="s">
        <v>66</v>
      </c>
      <c r="E725" t="s">
        <v>38</v>
      </c>
      <c r="F725" t="s">
        <v>39</v>
      </c>
      <c r="G725">
        <v>1</v>
      </c>
      <c r="H725" s="4">
        <v>2.79</v>
      </c>
      <c r="I725" t="s">
        <v>19</v>
      </c>
      <c r="J725">
        <v>34</v>
      </c>
      <c r="K725">
        <v>0</v>
      </c>
      <c r="L725">
        <v>9</v>
      </c>
      <c r="M725" s="5">
        <v>6.3</v>
      </c>
      <c r="N725" s="4">
        <f t="shared" si="11"/>
        <v>2.79</v>
      </c>
      <c r="O725">
        <f>HOUR(TIMEVALUE(RetailTransactions[[#This Row],[Time]]))</f>
        <v>19</v>
      </c>
    </row>
    <row r="726" spans="1:15">
      <c r="A726" t="s">
        <v>937</v>
      </c>
      <c r="B726" s="3">
        <v>46183</v>
      </c>
      <c r="C726" t="s">
        <v>247</v>
      </c>
      <c r="D726" t="s">
        <v>16</v>
      </c>
      <c r="E726" t="s">
        <v>57</v>
      </c>
      <c r="F726" t="s">
        <v>43</v>
      </c>
      <c r="G726">
        <v>1</v>
      </c>
      <c r="H726" s="4">
        <v>1.69</v>
      </c>
      <c r="I726" t="s">
        <v>19</v>
      </c>
      <c r="J726">
        <v>43</v>
      </c>
      <c r="K726">
        <v>1</v>
      </c>
      <c r="L726">
        <v>7</v>
      </c>
      <c r="M726" s="5">
        <v>3.3</v>
      </c>
      <c r="N726" s="4">
        <f t="shared" si="11"/>
        <v>1.69</v>
      </c>
      <c r="O726">
        <f>HOUR(TIMEVALUE(RetailTransactions[[#This Row],[Time]]))</f>
        <v>17</v>
      </c>
    </row>
    <row r="727" spans="1:15">
      <c r="A727" t="s">
        <v>938</v>
      </c>
      <c r="B727" s="3">
        <v>46198</v>
      </c>
      <c r="C727" t="s">
        <v>156</v>
      </c>
      <c r="D727" t="s">
        <v>37</v>
      </c>
      <c r="E727" t="s">
        <v>106</v>
      </c>
      <c r="F727" t="s">
        <v>18</v>
      </c>
      <c r="G727">
        <v>2</v>
      </c>
      <c r="H727" s="4">
        <v>1.89</v>
      </c>
      <c r="I727" t="s">
        <v>19</v>
      </c>
      <c r="J727">
        <v>27</v>
      </c>
      <c r="K727">
        <v>0</v>
      </c>
      <c r="L727">
        <v>5</v>
      </c>
      <c r="M727" s="5">
        <v>4.4000000000000004</v>
      </c>
      <c r="N727" s="4">
        <f t="shared" si="11"/>
        <v>3.78</v>
      </c>
      <c r="O727">
        <f>HOUR(TIMEVALUE(RetailTransactions[[#This Row],[Time]]))</f>
        <v>16</v>
      </c>
    </row>
    <row r="728" spans="1:15">
      <c r="A728" t="s">
        <v>939</v>
      </c>
      <c r="B728" s="3">
        <v>46260</v>
      </c>
      <c r="C728" t="s">
        <v>170</v>
      </c>
      <c r="D728" t="s">
        <v>16</v>
      </c>
      <c r="E728" t="s">
        <v>57</v>
      </c>
      <c r="F728" t="s">
        <v>43</v>
      </c>
      <c r="G728">
        <v>1</v>
      </c>
      <c r="H728" s="4">
        <v>1.44</v>
      </c>
      <c r="I728" t="s">
        <v>30</v>
      </c>
      <c r="J728">
        <v>6</v>
      </c>
      <c r="K728">
        <v>0</v>
      </c>
      <c r="L728">
        <v>7</v>
      </c>
      <c r="M728" s="5">
        <v>4.0999999999999996</v>
      </c>
      <c r="N728" s="4">
        <f t="shared" si="11"/>
        <v>1.44</v>
      </c>
      <c r="O728">
        <f>HOUR(TIMEVALUE(RetailTransactions[[#This Row],[Time]]))</f>
        <v>13</v>
      </c>
    </row>
    <row r="729" spans="1:15">
      <c r="A729" t="s">
        <v>940</v>
      </c>
      <c r="B729" s="3">
        <v>46243</v>
      </c>
      <c r="C729" t="s">
        <v>122</v>
      </c>
      <c r="D729" t="s">
        <v>27</v>
      </c>
      <c r="E729" t="s">
        <v>125</v>
      </c>
      <c r="F729" t="s">
        <v>39</v>
      </c>
      <c r="G729">
        <v>1</v>
      </c>
      <c r="H729" s="4">
        <v>1.85</v>
      </c>
      <c r="I729" t="s">
        <v>19</v>
      </c>
      <c r="J729">
        <v>40</v>
      </c>
      <c r="K729">
        <v>0</v>
      </c>
      <c r="L729">
        <v>7</v>
      </c>
      <c r="M729" s="5">
        <v>5.0999999999999996</v>
      </c>
      <c r="N729" s="4">
        <f t="shared" si="11"/>
        <v>1.85</v>
      </c>
      <c r="O729">
        <f>HOUR(TIMEVALUE(RetailTransactions[[#This Row],[Time]]))</f>
        <v>12</v>
      </c>
    </row>
    <row r="730" spans="1:15">
      <c r="A730" t="s">
        <v>941</v>
      </c>
      <c r="B730" s="3">
        <v>46231</v>
      </c>
      <c r="C730" t="s">
        <v>68</v>
      </c>
      <c r="D730" t="s">
        <v>22</v>
      </c>
      <c r="E730" t="s">
        <v>115</v>
      </c>
      <c r="F730" t="s">
        <v>29</v>
      </c>
      <c r="G730">
        <v>1</v>
      </c>
      <c r="H730" s="4">
        <v>3.39</v>
      </c>
      <c r="I730" t="s">
        <v>30</v>
      </c>
      <c r="J730">
        <v>9</v>
      </c>
      <c r="K730">
        <v>0</v>
      </c>
      <c r="L730">
        <v>7</v>
      </c>
      <c r="M730" s="5">
        <v>1.6</v>
      </c>
      <c r="N730" s="4">
        <f t="shared" si="11"/>
        <v>3.39</v>
      </c>
      <c r="O730">
        <f>HOUR(TIMEVALUE(RetailTransactions[[#This Row],[Time]]))</f>
        <v>16</v>
      </c>
    </row>
    <row r="731" spans="1:15">
      <c r="A731" t="s">
        <v>942</v>
      </c>
      <c r="B731" s="3">
        <v>46184</v>
      </c>
      <c r="C731" t="s">
        <v>93</v>
      </c>
      <c r="D731" t="s">
        <v>37</v>
      </c>
      <c r="E731" t="s">
        <v>38</v>
      </c>
      <c r="F731" t="s">
        <v>39</v>
      </c>
      <c r="G731">
        <v>1</v>
      </c>
      <c r="H731" s="4">
        <v>2.79</v>
      </c>
      <c r="I731" t="s">
        <v>19</v>
      </c>
      <c r="J731">
        <v>22</v>
      </c>
      <c r="K731">
        <v>0</v>
      </c>
      <c r="L731">
        <v>9</v>
      </c>
      <c r="M731" s="5">
        <v>4</v>
      </c>
      <c r="N731" s="4">
        <f t="shared" si="11"/>
        <v>2.79</v>
      </c>
      <c r="O731">
        <f>HOUR(TIMEVALUE(RetailTransactions[[#This Row],[Time]]))</f>
        <v>12</v>
      </c>
    </row>
    <row r="732" spans="1:15">
      <c r="A732" t="s">
        <v>943</v>
      </c>
      <c r="B732" s="3">
        <v>46244</v>
      </c>
      <c r="C732" t="s">
        <v>445</v>
      </c>
      <c r="D732" t="s">
        <v>33</v>
      </c>
      <c r="E732" t="s">
        <v>60</v>
      </c>
      <c r="F732" t="s">
        <v>29</v>
      </c>
      <c r="G732">
        <v>2</v>
      </c>
      <c r="H732" s="4">
        <v>2.69</v>
      </c>
      <c r="I732" t="s">
        <v>19</v>
      </c>
      <c r="J732">
        <v>39</v>
      </c>
      <c r="K732">
        <v>0</v>
      </c>
      <c r="L732">
        <v>7</v>
      </c>
      <c r="M732" s="5">
        <v>1.8</v>
      </c>
      <c r="N732" s="4">
        <f t="shared" si="11"/>
        <v>5.38</v>
      </c>
      <c r="O732">
        <f>HOUR(TIMEVALUE(RetailTransactions[[#This Row],[Time]]))</f>
        <v>15</v>
      </c>
    </row>
    <row r="733" spans="1:15">
      <c r="A733" t="s">
        <v>944</v>
      </c>
      <c r="B733" s="3">
        <v>46231</v>
      </c>
      <c r="C733" t="s">
        <v>189</v>
      </c>
      <c r="D733" t="s">
        <v>22</v>
      </c>
      <c r="E733" t="s">
        <v>125</v>
      </c>
      <c r="F733" t="s">
        <v>39</v>
      </c>
      <c r="G733">
        <v>2</v>
      </c>
      <c r="H733" s="4">
        <v>1.85</v>
      </c>
      <c r="I733" t="s">
        <v>19</v>
      </c>
      <c r="J733">
        <v>14</v>
      </c>
      <c r="K733">
        <v>0</v>
      </c>
      <c r="L733">
        <v>7</v>
      </c>
      <c r="M733" s="5">
        <v>4.3</v>
      </c>
      <c r="N733" s="4">
        <f t="shared" si="11"/>
        <v>3.7</v>
      </c>
      <c r="O733">
        <f>HOUR(TIMEVALUE(RetailTransactions[[#This Row],[Time]]))</f>
        <v>17</v>
      </c>
    </row>
    <row r="734" spans="1:15">
      <c r="A734" t="s">
        <v>945</v>
      </c>
      <c r="B734" s="3">
        <v>46224</v>
      </c>
      <c r="C734" t="s">
        <v>672</v>
      </c>
      <c r="D734" t="s">
        <v>22</v>
      </c>
      <c r="E734" t="s">
        <v>78</v>
      </c>
      <c r="F734" t="s">
        <v>39</v>
      </c>
      <c r="G734">
        <v>2</v>
      </c>
      <c r="H734" s="4">
        <v>1.55</v>
      </c>
      <c r="I734" t="s">
        <v>19</v>
      </c>
      <c r="J734">
        <v>48</v>
      </c>
      <c r="K734">
        <v>0</v>
      </c>
      <c r="L734">
        <v>7</v>
      </c>
      <c r="M734" s="5">
        <v>2.5</v>
      </c>
      <c r="N734" s="4">
        <f t="shared" si="11"/>
        <v>3.1</v>
      </c>
      <c r="O734">
        <f>HOUR(TIMEVALUE(RetailTransactions[[#This Row],[Time]]))</f>
        <v>16</v>
      </c>
    </row>
    <row r="735" spans="1:15">
      <c r="A735" t="s">
        <v>946</v>
      </c>
      <c r="B735" s="3">
        <v>46199</v>
      </c>
      <c r="C735" t="s">
        <v>897</v>
      </c>
      <c r="D735" t="s">
        <v>72</v>
      </c>
      <c r="E735" t="s">
        <v>23</v>
      </c>
      <c r="F735" t="s">
        <v>24</v>
      </c>
      <c r="G735">
        <v>3</v>
      </c>
      <c r="H735" s="4">
        <v>0.95</v>
      </c>
      <c r="I735" t="s">
        <v>19</v>
      </c>
      <c r="J735">
        <v>48</v>
      </c>
      <c r="K735">
        <v>2</v>
      </c>
      <c r="L735">
        <v>7</v>
      </c>
      <c r="M735" s="5">
        <v>2.4</v>
      </c>
      <c r="N735" s="4">
        <f t="shared" si="11"/>
        <v>2.8499999999999996</v>
      </c>
      <c r="O735">
        <f>HOUR(TIMEVALUE(RetailTransactions[[#This Row],[Time]]))</f>
        <v>8</v>
      </c>
    </row>
    <row r="736" spans="1:15">
      <c r="A736" t="s">
        <v>947</v>
      </c>
      <c r="B736" s="3">
        <v>46237</v>
      </c>
      <c r="C736" t="s">
        <v>62</v>
      </c>
      <c r="D736" t="s">
        <v>33</v>
      </c>
      <c r="E736" t="s">
        <v>34</v>
      </c>
      <c r="F736" t="s">
        <v>24</v>
      </c>
      <c r="G736">
        <v>2</v>
      </c>
      <c r="H736" s="4">
        <v>1.27</v>
      </c>
      <c r="I736" t="s">
        <v>30</v>
      </c>
      <c r="J736">
        <v>55</v>
      </c>
      <c r="K736">
        <v>0</v>
      </c>
      <c r="L736">
        <v>7</v>
      </c>
      <c r="M736" s="5">
        <v>6.6</v>
      </c>
      <c r="N736" s="4">
        <f t="shared" si="11"/>
        <v>2.54</v>
      </c>
      <c r="O736">
        <f>HOUR(TIMEVALUE(RetailTransactions[[#This Row],[Time]]))</f>
        <v>18</v>
      </c>
    </row>
    <row r="737" spans="1:15">
      <c r="A737" t="s">
        <v>948</v>
      </c>
      <c r="B737" s="3">
        <v>46262</v>
      </c>
      <c r="C737" t="s">
        <v>382</v>
      </c>
      <c r="D737" t="s">
        <v>72</v>
      </c>
      <c r="E737" t="s">
        <v>63</v>
      </c>
      <c r="F737" t="s">
        <v>50</v>
      </c>
      <c r="G737">
        <v>2</v>
      </c>
      <c r="H737" s="4">
        <v>2.97</v>
      </c>
      <c r="I737" t="s">
        <v>30</v>
      </c>
      <c r="J737">
        <v>22</v>
      </c>
      <c r="K737">
        <v>0</v>
      </c>
      <c r="L737">
        <v>9</v>
      </c>
      <c r="M737" s="5">
        <v>3.8</v>
      </c>
      <c r="N737" s="4">
        <f t="shared" si="11"/>
        <v>5.94</v>
      </c>
      <c r="O737">
        <f>HOUR(TIMEVALUE(RetailTransactions[[#This Row],[Time]]))</f>
        <v>13</v>
      </c>
    </row>
    <row r="738" spans="1:15">
      <c r="A738" t="s">
        <v>949</v>
      </c>
      <c r="B738" s="3">
        <v>46192</v>
      </c>
      <c r="C738" t="s">
        <v>137</v>
      </c>
      <c r="D738" t="s">
        <v>72</v>
      </c>
      <c r="E738" t="s">
        <v>120</v>
      </c>
      <c r="F738" t="s">
        <v>50</v>
      </c>
      <c r="G738">
        <v>1</v>
      </c>
      <c r="H738" s="4">
        <v>2.25</v>
      </c>
      <c r="I738" t="s">
        <v>19</v>
      </c>
      <c r="J738">
        <v>46</v>
      </c>
      <c r="K738">
        <v>0</v>
      </c>
      <c r="L738">
        <v>6</v>
      </c>
      <c r="M738" s="5">
        <v>4.7</v>
      </c>
      <c r="N738" s="4">
        <f t="shared" si="11"/>
        <v>2.25</v>
      </c>
      <c r="O738">
        <f>HOUR(TIMEVALUE(RetailTransactions[[#This Row],[Time]]))</f>
        <v>13</v>
      </c>
    </row>
    <row r="739" spans="1:15">
      <c r="A739" t="s">
        <v>950</v>
      </c>
      <c r="B739" s="3">
        <v>46236</v>
      </c>
      <c r="C739" t="s">
        <v>618</v>
      </c>
      <c r="D739" t="s">
        <v>27</v>
      </c>
      <c r="E739" t="s">
        <v>23</v>
      </c>
      <c r="F739" t="s">
        <v>24</v>
      </c>
      <c r="G739">
        <v>2</v>
      </c>
      <c r="H739" s="4">
        <v>0.95</v>
      </c>
      <c r="I739" t="s">
        <v>19</v>
      </c>
      <c r="J739">
        <v>45</v>
      </c>
      <c r="K739">
        <v>0</v>
      </c>
      <c r="L739">
        <v>7</v>
      </c>
      <c r="M739" s="5">
        <v>2.8</v>
      </c>
      <c r="N739" s="4">
        <f t="shared" si="11"/>
        <v>1.9</v>
      </c>
      <c r="O739">
        <f>HOUR(TIMEVALUE(RetailTransactions[[#This Row],[Time]]))</f>
        <v>8</v>
      </c>
    </row>
    <row r="740" spans="1:15">
      <c r="A740" t="s">
        <v>951</v>
      </c>
      <c r="B740" s="3">
        <v>46231</v>
      </c>
      <c r="C740" t="s">
        <v>161</v>
      </c>
      <c r="D740" t="s">
        <v>22</v>
      </c>
      <c r="E740" t="s">
        <v>46</v>
      </c>
      <c r="F740" t="s">
        <v>24</v>
      </c>
      <c r="G740">
        <v>1</v>
      </c>
      <c r="H740" s="4">
        <v>1.52</v>
      </c>
      <c r="I740" t="s">
        <v>30</v>
      </c>
      <c r="J740">
        <v>26</v>
      </c>
      <c r="K740">
        <v>0</v>
      </c>
      <c r="L740">
        <v>7</v>
      </c>
      <c r="M740" s="5">
        <v>4.5</v>
      </c>
      <c r="N740" s="4">
        <f t="shared" si="11"/>
        <v>1.52</v>
      </c>
      <c r="O740">
        <f>HOUR(TIMEVALUE(RetailTransactions[[#This Row],[Time]]))</f>
        <v>19</v>
      </c>
    </row>
    <row r="741" spans="1:15">
      <c r="A741" t="s">
        <v>952</v>
      </c>
      <c r="B741" s="3">
        <v>46231</v>
      </c>
      <c r="C741" t="s">
        <v>415</v>
      </c>
      <c r="D741" t="s">
        <v>22</v>
      </c>
      <c r="E741" t="s">
        <v>17</v>
      </c>
      <c r="F741" t="s">
        <v>18</v>
      </c>
      <c r="G741">
        <v>3</v>
      </c>
      <c r="H741" s="4">
        <v>1.49</v>
      </c>
      <c r="I741" t="s">
        <v>30</v>
      </c>
      <c r="J741">
        <v>14</v>
      </c>
      <c r="K741">
        <v>0</v>
      </c>
      <c r="L741">
        <v>4</v>
      </c>
      <c r="M741" s="5">
        <v>3.1</v>
      </c>
      <c r="N741" s="4">
        <f t="shared" si="11"/>
        <v>4.47</v>
      </c>
      <c r="O741">
        <f>HOUR(TIMEVALUE(RetailTransactions[[#This Row],[Time]]))</f>
        <v>14</v>
      </c>
    </row>
    <row r="742" spans="1:15">
      <c r="A742" t="s">
        <v>953</v>
      </c>
      <c r="B742" s="3">
        <v>46237</v>
      </c>
      <c r="C742" t="s">
        <v>305</v>
      </c>
      <c r="D742" t="s">
        <v>33</v>
      </c>
      <c r="E742" t="s">
        <v>23</v>
      </c>
      <c r="F742" t="s">
        <v>24</v>
      </c>
      <c r="G742">
        <v>1</v>
      </c>
      <c r="H742" s="4">
        <v>0.95</v>
      </c>
      <c r="I742" t="s">
        <v>19</v>
      </c>
      <c r="J742">
        <v>3</v>
      </c>
      <c r="K742">
        <v>0</v>
      </c>
      <c r="L742">
        <v>9</v>
      </c>
      <c r="M742" s="5">
        <v>5</v>
      </c>
      <c r="N742" s="4">
        <f t="shared" si="11"/>
        <v>0.95</v>
      </c>
      <c r="O742">
        <f>HOUR(TIMEVALUE(RetailTransactions[[#This Row],[Time]]))</f>
        <v>13</v>
      </c>
    </row>
    <row r="743" spans="1:15">
      <c r="A743" t="s">
        <v>954</v>
      </c>
      <c r="B743" s="3">
        <v>46188</v>
      </c>
      <c r="C743" t="s">
        <v>672</v>
      </c>
      <c r="D743" t="s">
        <v>33</v>
      </c>
      <c r="E743" t="s">
        <v>85</v>
      </c>
      <c r="F743" t="s">
        <v>18</v>
      </c>
      <c r="G743">
        <v>1</v>
      </c>
      <c r="H743" s="4">
        <v>2.4900000000000002</v>
      </c>
      <c r="I743" t="s">
        <v>19</v>
      </c>
      <c r="J743">
        <v>41</v>
      </c>
      <c r="K743">
        <v>1</v>
      </c>
      <c r="L743">
        <v>5</v>
      </c>
      <c r="M743" s="5">
        <v>2.6</v>
      </c>
      <c r="N743" s="4">
        <f t="shared" si="11"/>
        <v>2.4900000000000002</v>
      </c>
      <c r="O743">
        <f>HOUR(TIMEVALUE(RetailTransactions[[#This Row],[Time]]))</f>
        <v>16</v>
      </c>
    </row>
    <row r="744" spans="1:15">
      <c r="A744" t="s">
        <v>955</v>
      </c>
      <c r="B744" s="3">
        <v>46256</v>
      </c>
      <c r="C744" t="s">
        <v>956</v>
      </c>
      <c r="D744" t="s">
        <v>66</v>
      </c>
      <c r="E744" t="s">
        <v>115</v>
      </c>
      <c r="F744" t="s">
        <v>29</v>
      </c>
      <c r="G744">
        <v>2</v>
      </c>
      <c r="H744" s="4">
        <v>3.39</v>
      </c>
      <c r="I744" t="s">
        <v>30</v>
      </c>
      <c r="J744">
        <v>20</v>
      </c>
      <c r="K744">
        <v>0</v>
      </c>
      <c r="L744">
        <v>5</v>
      </c>
      <c r="M744" s="5">
        <v>3.5</v>
      </c>
      <c r="N744" s="4">
        <f t="shared" si="11"/>
        <v>6.78</v>
      </c>
      <c r="O744">
        <f>HOUR(TIMEVALUE(RetailTransactions[[#This Row],[Time]]))</f>
        <v>11</v>
      </c>
    </row>
    <row r="745" spans="1:15">
      <c r="A745" t="s">
        <v>957</v>
      </c>
      <c r="B745" s="3">
        <v>46245</v>
      </c>
      <c r="C745" t="s">
        <v>114</v>
      </c>
      <c r="D745" t="s">
        <v>22</v>
      </c>
      <c r="E745" t="s">
        <v>85</v>
      </c>
      <c r="F745" t="s">
        <v>18</v>
      </c>
      <c r="G745">
        <v>1</v>
      </c>
      <c r="H745" s="4">
        <v>2.4900000000000002</v>
      </c>
      <c r="I745" t="s">
        <v>19</v>
      </c>
      <c r="J745">
        <v>41</v>
      </c>
      <c r="K745">
        <v>0</v>
      </c>
      <c r="L745">
        <v>8</v>
      </c>
      <c r="M745" s="5">
        <v>5.4</v>
      </c>
      <c r="N745" s="4">
        <f t="shared" si="11"/>
        <v>2.4900000000000002</v>
      </c>
      <c r="O745">
        <f>HOUR(TIMEVALUE(RetailTransactions[[#This Row],[Time]]))</f>
        <v>17</v>
      </c>
    </row>
    <row r="746" spans="1:15">
      <c r="A746" t="s">
        <v>958</v>
      </c>
      <c r="B746" s="3">
        <v>46236</v>
      </c>
      <c r="C746" t="s">
        <v>590</v>
      </c>
      <c r="D746" t="s">
        <v>27</v>
      </c>
      <c r="E746" t="s">
        <v>63</v>
      </c>
      <c r="F746" t="s">
        <v>50</v>
      </c>
      <c r="G746">
        <v>1</v>
      </c>
      <c r="H746" s="4">
        <v>3.49</v>
      </c>
      <c r="I746" t="s">
        <v>19</v>
      </c>
      <c r="J746">
        <v>40</v>
      </c>
      <c r="K746">
        <v>0</v>
      </c>
      <c r="L746">
        <v>8</v>
      </c>
      <c r="M746" s="5">
        <v>4.8</v>
      </c>
      <c r="N746" s="4">
        <f t="shared" si="11"/>
        <v>3.49</v>
      </c>
      <c r="O746">
        <f>HOUR(TIMEVALUE(RetailTransactions[[#This Row],[Time]]))</f>
        <v>12</v>
      </c>
    </row>
    <row r="747" spans="1:15">
      <c r="A747" t="s">
        <v>959</v>
      </c>
      <c r="B747" s="3">
        <v>46212</v>
      </c>
      <c r="C747" t="s">
        <v>314</v>
      </c>
      <c r="D747" t="s">
        <v>37</v>
      </c>
      <c r="E747" t="s">
        <v>106</v>
      </c>
      <c r="F747" t="s">
        <v>18</v>
      </c>
      <c r="G747">
        <v>1</v>
      </c>
      <c r="H747" s="4">
        <v>1.61</v>
      </c>
      <c r="I747" t="s">
        <v>30</v>
      </c>
      <c r="J747">
        <v>44</v>
      </c>
      <c r="K747">
        <v>0</v>
      </c>
      <c r="L747">
        <v>6</v>
      </c>
      <c r="M747" s="5">
        <v>1.5</v>
      </c>
      <c r="N747" s="4">
        <f t="shared" si="11"/>
        <v>1.61</v>
      </c>
      <c r="O747">
        <f>HOUR(TIMEVALUE(RetailTransactions[[#This Row],[Time]]))</f>
        <v>14</v>
      </c>
    </row>
    <row r="748" spans="1:15">
      <c r="A748" t="s">
        <v>960</v>
      </c>
      <c r="B748" s="3">
        <v>46176</v>
      </c>
      <c r="C748" t="s">
        <v>204</v>
      </c>
      <c r="D748" t="s">
        <v>16</v>
      </c>
      <c r="E748" t="s">
        <v>23</v>
      </c>
      <c r="F748" t="s">
        <v>24</v>
      </c>
      <c r="G748">
        <v>1</v>
      </c>
      <c r="H748" s="4">
        <v>0.81</v>
      </c>
      <c r="I748" t="s">
        <v>30</v>
      </c>
      <c r="J748">
        <v>52</v>
      </c>
      <c r="K748">
        <v>1</v>
      </c>
      <c r="L748">
        <v>6</v>
      </c>
      <c r="M748" s="5">
        <v>2.8</v>
      </c>
      <c r="N748" s="4">
        <f t="shared" si="11"/>
        <v>0.81</v>
      </c>
      <c r="O748">
        <f>HOUR(TIMEVALUE(RetailTransactions[[#This Row],[Time]]))</f>
        <v>14</v>
      </c>
    </row>
    <row r="749" spans="1:15">
      <c r="A749" t="s">
        <v>961</v>
      </c>
      <c r="B749" s="3">
        <v>46219</v>
      </c>
      <c r="C749" t="s">
        <v>144</v>
      </c>
      <c r="D749" t="s">
        <v>37</v>
      </c>
      <c r="E749" t="s">
        <v>106</v>
      </c>
      <c r="F749" t="s">
        <v>18</v>
      </c>
      <c r="G749">
        <v>1</v>
      </c>
      <c r="H749" s="4">
        <v>1.89</v>
      </c>
      <c r="I749" t="s">
        <v>19</v>
      </c>
      <c r="J749">
        <v>9</v>
      </c>
      <c r="K749">
        <v>0</v>
      </c>
      <c r="L749">
        <v>6</v>
      </c>
      <c r="M749" s="5">
        <v>6.1</v>
      </c>
      <c r="N749" s="4">
        <f t="shared" si="11"/>
        <v>1.89</v>
      </c>
      <c r="O749">
        <f>HOUR(TIMEVALUE(RetailTransactions[[#This Row],[Time]]))</f>
        <v>17</v>
      </c>
    </row>
    <row r="750" spans="1:15">
      <c r="A750" t="s">
        <v>962</v>
      </c>
      <c r="B750" s="3">
        <v>46177</v>
      </c>
      <c r="C750" t="s">
        <v>62</v>
      </c>
      <c r="D750" t="s">
        <v>37</v>
      </c>
      <c r="E750" t="s">
        <v>17</v>
      </c>
      <c r="F750" t="s">
        <v>18</v>
      </c>
      <c r="G750">
        <v>1</v>
      </c>
      <c r="H750" s="4">
        <v>1.75</v>
      </c>
      <c r="I750" t="s">
        <v>19</v>
      </c>
      <c r="J750">
        <v>42</v>
      </c>
      <c r="K750">
        <v>0</v>
      </c>
      <c r="L750">
        <v>8</v>
      </c>
      <c r="M750" s="5">
        <v>5.6</v>
      </c>
      <c r="N750" s="4">
        <f t="shared" si="11"/>
        <v>1.75</v>
      </c>
      <c r="O750">
        <f>HOUR(TIMEVALUE(RetailTransactions[[#This Row],[Time]]))</f>
        <v>18</v>
      </c>
    </row>
    <row r="751" spans="1:15">
      <c r="A751" t="s">
        <v>963</v>
      </c>
      <c r="B751" s="3">
        <v>46222</v>
      </c>
      <c r="C751" t="s">
        <v>314</v>
      </c>
      <c r="D751" t="s">
        <v>27</v>
      </c>
      <c r="E751" t="s">
        <v>63</v>
      </c>
      <c r="F751" t="s">
        <v>50</v>
      </c>
      <c r="G751">
        <v>1</v>
      </c>
      <c r="H751" s="4">
        <v>3.49</v>
      </c>
      <c r="I751" t="s">
        <v>19</v>
      </c>
      <c r="J751">
        <v>23</v>
      </c>
      <c r="K751">
        <v>0</v>
      </c>
      <c r="L751">
        <v>4</v>
      </c>
      <c r="M751" s="5">
        <v>4.5999999999999996</v>
      </c>
      <c r="N751" s="4">
        <f t="shared" si="11"/>
        <v>3.49</v>
      </c>
      <c r="O751">
        <f>HOUR(TIMEVALUE(RetailTransactions[[#This Row],[Time]]))</f>
        <v>14</v>
      </c>
    </row>
    <row r="752" spans="1:15">
      <c r="A752" t="s">
        <v>964</v>
      </c>
      <c r="B752" s="3">
        <v>46195</v>
      </c>
      <c r="C752" t="s">
        <v>202</v>
      </c>
      <c r="D752" t="s">
        <v>33</v>
      </c>
      <c r="E752" t="s">
        <v>63</v>
      </c>
      <c r="F752" t="s">
        <v>50</v>
      </c>
      <c r="G752">
        <v>2</v>
      </c>
      <c r="H752" s="4">
        <v>3.49</v>
      </c>
      <c r="I752" t="s">
        <v>19</v>
      </c>
      <c r="J752">
        <v>3</v>
      </c>
      <c r="K752">
        <v>0</v>
      </c>
      <c r="L752">
        <v>7</v>
      </c>
      <c r="M752" s="5">
        <v>5.3</v>
      </c>
      <c r="N752" s="4">
        <f t="shared" si="11"/>
        <v>6.98</v>
      </c>
      <c r="O752">
        <f>HOUR(TIMEVALUE(RetailTransactions[[#This Row],[Time]]))</f>
        <v>13</v>
      </c>
    </row>
    <row r="753" spans="1:15">
      <c r="A753" t="s">
        <v>965</v>
      </c>
      <c r="B753" s="3">
        <v>46226</v>
      </c>
      <c r="C753" t="s">
        <v>365</v>
      </c>
      <c r="D753" t="s">
        <v>37</v>
      </c>
      <c r="E753" t="s">
        <v>106</v>
      </c>
      <c r="F753" t="s">
        <v>18</v>
      </c>
      <c r="G753">
        <v>1</v>
      </c>
      <c r="H753" s="4">
        <v>1.61</v>
      </c>
      <c r="I753" t="s">
        <v>30</v>
      </c>
      <c r="J753">
        <v>60</v>
      </c>
      <c r="K753">
        <v>0</v>
      </c>
      <c r="L753">
        <v>9</v>
      </c>
      <c r="M753" s="5">
        <v>3.8</v>
      </c>
      <c r="N753" s="4">
        <f t="shared" si="11"/>
        <v>1.61</v>
      </c>
      <c r="O753">
        <f>HOUR(TIMEVALUE(RetailTransactions[[#This Row],[Time]]))</f>
        <v>19</v>
      </c>
    </row>
    <row r="754" spans="1:15">
      <c r="A754" t="s">
        <v>966</v>
      </c>
      <c r="B754" s="3">
        <v>46204</v>
      </c>
      <c r="C754" t="s">
        <v>156</v>
      </c>
      <c r="D754" t="s">
        <v>16</v>
      </c>
      <c r="E754" t="s">
        <v>46</v>
      </c>
      <c r="F754" t="s">
        <v>24</v>
      </c>
      <c r="G754">
        <v>1</v>
      </c>
      <c r="H754" s="4">
        <v>1.52</v>
      </c>
      <c r="I754" t="s">
        <v>30</v>
      </c>
      <c r="J754">
        <v>48</v>
      </c>
      <c r="K754">
        <v>0</v>
      </c>
      <c r="L754">
        <v>7</v>
      </c>
      <c r="M754" s="5">
        <v>1.7</v>
      </c>
      <c r="N754" s="4">
        <f t="shared" si="11"/>
        <v>1.52</v>
      </c>
      <c r="O754">
        <f>HOUR(TIMEVALUE(RetailTransactions[[#This Row],[Time]]))</f>
        <v>16</v>
      </c>
    </row>
    <row r="755" spans="1:15">
      <c r="A755" t="s">
        <v>967</v>
      </c>
      <c r="B755" s="3">
        <v>46176</v>
      </c>
      <c r="C755" t="s">
        <v>318</v>
      </c>
      <c r="D755" t="s">
        <v>16</v>
      </c>
      <c r="E755" t="s">
        <v>63</v>
      </c>
      <c r="F755" t="s">
        <v>50</v>
      </c>
      <c r="G755">
        <v>1</v>
      </c>
      <c r="H755" s="4">
        <v>2.97</v>
      </c>
      <c r="I755" t="s">
        <v>30</v>
      </c>
      <c r="J755">
        <v>18</v>
      </c>
      <c r="K755">
        <v>0</v>
      </c>
      <c r="L755">
        <v>7</v>
      </c>
      <c r="M755" s="5">
        <v>4.8</v>
      </c>
      <c r="N755" s="4">
        <f t="shared" si="11"/>
        <v>2.97</v>
      </c>
      <c r="O755">
        <f>HOUR(TIMEVALUE(RetailTransactions[[#This Row],[Time]]))</f>
        <v>12</v>
      </c>
    </row>
    <row r="756" spans="1:15">
      <c r="A756" t="s">
        <v>968</v>
      </c>
      <c r="B756" s="3">
        <v>46224</v>
      </c>
      <c r="C756" t="s">
        <v>215</v>
      </c>
      <c r="D756" t="s">
        <v>22</v>
      </c>
      <c r="E756" t="s">
        <v>69</v>
      </c>
      <c r="F756" t="s">
        <v>43</v>
      </c>
      <c r="G756">
        <v>4</v>
      </c>
      <c r="H756" s="4">
        <v>1.99</v>
      </c>
      <c r="I756" t="s">
        <v>19</v>
      </c>
      <c r="J756">
        <v>34</v>
      </c>
      <c r="K756">
        <v>0</v>
      </c>
      <c r="L756">
        <v>6</v>
      </c>
      <c r="M756" s="5">
        <v>6.1</v>
      </c>
      <c r="N756" s="4">
        <f t="shared" si="11"/>
        <v>7.96</v>
      </c>
      <c r="O756">
        <f>HOUR(TIMEVALUE(RetailTransactions[[#This Row],[Time]]))</f>
        <v>12</v>
      </c>
    </row>
    <row r="757" spans="1:15">
      <c r="A757" t="s">
        <v>969</v>
      </c>
      <c r="B757" s="3">
        <v>46205</v>
      </c>
      <c r="C757" t="s">
        <v>71</v>
      </c>
      <c r="D757" t="s">
        <v>37</v>
      </c>
      <c r="E757" t="s">
        <v>60</v>
      </c>
      <c r="F757" t="s">
        <v>29</v>
      </c>
      <c r="G757">
        <v>4</v>
      </c>
      <c r="H757" s="4">
        <v>2.69</v>
      </c>
      <c r="I757" t="s">
        <v>19</v>
      </c>
      <c r="J757">
        <v>47</v>
      </c>
      <c r="K757">
        <v>1</v>
      </c>
      <c r="L757">
        <v>6</v>
      </c>
      <c r="M757" s="5">
        <v>5.4</v>
      </c>
      <c r="N757" s="4">
        <f t="shared" si="11"/>
        <v>10.76</v>
      </c>
      <c r="O757">
        <f>HOUR(TIMEVALUE(RetailTransactions[[#This Row],[Time]]))</f>
        <v>17</v>
      </c>
    </row>
    <row r="758" spans="1:15">
      <c r="A758" t="s">
        <v>970</v>
      </c>
      <c r="B758" s="3">
        <v>46236</v>
      </c>
      <c r="C758" t="s">
        <v>560</v>
      </c>
      <c r="D758" t="s">
        <v>27</v>
      </c>
      <c r="E758" t="s">
        <v>106</v>
      </c>
      <c r="F758" t="s">
        <v>18</v>
      </c>
      <c r="G758">
        <v>1</v>
      </c>
      <c r="H758" s="4">
        <v>1.61</v>
      </c>
      <c r="I758" t="s">
        <v>30</v>
      </c>
      <c r="J758">
        <v>26</v>
      </c>
      <c r="K758">
        <v>1</v>
      </c>
      <c r="L758">
        <v>4</v>
      </c>
      <c r="M758" s="5">
        <v>2.9</v>
      </c>
      <c r="N758" s="4">
        <f t="shared" si="11"/>
        <v>1.61</v>
      </c>
      <c r="O758">
        <f>HOUR(TIMEVALUE(RetailTransactions[[#This Row],[Time]]))</f>
        <v>21</v>
      </c>
    </row>
    <row r="759" spans="1:15">
      <c r="A759" t="s">
        <v>971</v>
      </c>
      <c r="B759" s="3">
        <v>46216</v>
      </c>
      <c r="C759" t="s">
        <v>163</v>
      </c>
      <c r="D759" t="s">
        <v>33</v>
      </c>
      <c r="E759" t="s">
        <v>28</v>
      </c>
      <c r="F759" t="s">
        <v>29</v>
      </c>
      <c r="G759">
        <v>4</v>
      </c>
      <c r="H759" s="4">
        <v>2.8</v>
      </c>
      <c r="I759" t="s">
        <v>30</v>
      </c>
      <c r="J759">
        <v>46</v>
      </c>
      <c r="K759">
        <v>0</v>
      </c>
      <c r="L759">
        <v>8</v>
      </c>
      <c r="M759" s="5">
        <v>6.2</v>
      </c>
      <c r="N759" s="4">
        <f t="shared" si="11"/>
        <v>11.2</v>
      </c>
      <c r="O759">
        <f>HOUR(TIMEVALUE(RetailTransactions[[#This Row],[Time]]))</f>
        <v>17</v>
      </c>
    </row>
    <row r="760" spans="1:15">
      <c r="A760" t="s">
        <v>972</v>
      </c>
      <c r="B760" s="3">
        <v>46241</v>
      </c>
      <c r="C760" t="s">
        <v>147</v>
      </c>
      <c r="D760" t="s">
        <v>72</v>
      </c>
      <c r="E760" t="s">
        <v>85</v>
      </c>
      <c r="F760" t="s">
        <v>18</v>
      </c>
      <c r="G760">
        <v>1</v>
      </c>
      <c r="H760" s="4">
        <v>2.4900000000000002</v>
      </c>
      <c r="I760" t="s">
        <v>19</v>
      </c>
      <c r="J760">
        <v>46</v>
      </c>
      <c r="K760">
        <v>0</v>
      </c>
      <c r="L760">
        <v>4</v>
      </c>
      <c r="M760" s="5">
        <v>4</v>
      </c>
      <c r="N760" s="4">
        <f t="shared" si="11"/>
        <v>2.4900000000000002</v>
      </c>
      <c r="O760">
        <f>HOUR(TIMEVALUE(RetailTransactions[[#This Row],[Time]]))</f>
        <v>14</v>
      </c>
    </row>
    <row r="761" spans="1:15">
      <c r="A761" t="s">
        <v>973</v>
      </c>
      <c r="B761" s="3">
        <v>46197</v>
      </c>
      <c r="C761" t="s">
        <v>318</v>
      </c>
      <c r="D761" t="s">
        <v>16</v>
      </c>
      <c r="E761" t="s">
        <v>46</v>
      </c>
      <c r="F761" t="s">
        <v>24</v>
      </c>
      <c r="G761">
        <v>1</v>
      </c>
      <c r="H761" s="4">
        <v>1.79</v>
      </c>
      <c r="I761" t="s">
        <v>19</v>
      </c>
      <c r="J761">
        <v>49</v>
      </c>
      <c r="K761">
        <v>0</v>
      </c>
      <c r="L761">
        <v>7</v>
      </c>
      <c r="M761" s="5">
        <v>5.4</v>
      </c>
      <c r="N761" s="4">
        <f t="shared" si="11"/>
        <v>1.79</v>
      </c>
      <c r="O761">
        <f>HOUR(TIMEVALUE(RetailTransactions[[#This Row],[Time]]))</f>
        <v>12</v>
      </c>
    </row>
    <row r="762" spans="1:15">
      <c r="A762" t="s">
        <v>974</v>
      </c>
      <c r="B762" s="3">
        <v>46204</v>
      </c>
      <c r="C762" t="s">
        <v>265</v>
      </c>
      <c r="D762" t="s">
        <v>16</v>
      </c>
      <c r="E762" t="s">
        <v>57</v>
      </c>
      <c r="F762" t="s">
        <v>43</v>
      </c>
      <c r="G762">
        <v>2</v>
      </c>
      <c r="H762" s="4">
        <v>1.69</v>
      </c>
      <c r="I762" t="s">
        <v>19</v>
      </c>
      <c r="J762">
        <v>34</v>
      </c>
      <c r="K762">
        <v>0</v>
      </c>
      <c r="L762">
        <v>5</v>
      </c>
      <c r="M762" s="5">
        <v>4.5999999999999996</v>
      </c>
      <c r="N762" s="4">
        <f t="shared" si="11"/>
        <v>3.38</v>
      </c>
      <c r="O762">
        <f>HOUR(TIMEVALUE(RetailTransactions[[#This Row],[Time]]))</f>
        <v>20</v>
      </c>
    </row>
    <row r="763" spans="1:15">
      <c r="A763" t="s">
        <v>975</v>
      </c>
      <c r="B763" s="3">
        <v>46263</v>
      </c>
      <c r="C763" t="s">
        <v>186</v>
      </c>
      <c r="D763" t="s">
        <v>66</v>
      </c>
      <c r="E763" t="s">
        <v>78</v>
      </c>
      <c r="F763" t="s">
        <v>39</v>
      </c>
      <c r="G763">
        <v>1</v>
      </c>
      <c r="H763" s="4">
        <v>1.32</v>
      </c>
      <c r="I763" t="s">
        <v>30</v>
      </c>
      <c r="J763">
        <v>39</v>
      </c>
      <c r="K763">
        <v>0</v>
      </c>
      <c r="L763">
        <v>9</v>
      </c>
      <c r="M763" s="5">
        <v>4.0999999999999996</v>
      </c>
      <c r="N763" s="4">
        <f t="shared" si="11"/>
        <v>1.32</v>
      </c>
      <c r="O763">
        <f>HOUR(TIMEVALUE(RetailTransactions[[#This Row],[Time]]))</f>
        <v>18</v>
      </c>
    </row>
    <row r="764" spans="1:15">
      <c r="A764" t="s">
        <v>976</v>
      </c>
      <c r="B764" s="3">
        <v>46220</v>
      </c>
      <c r="C764" t="s">
        <v>191</v>
      </c>
      <c r="D764" t="s">
        <v>72</v>
      </c>
      <c r="E764" t="s">
        <v>60</v>
      </c>
      <c r="F764" t="s">
        <v>29</v>
      </c>
      <c r="G764">
        <v>1</v>
      </c>
      <c r="H764" s="4">
        <v>2.69</v>
      </c>
      <c r="I764" t="s">
        <v>19</v>
      </c>
      <c r="J764">
        <v>16</v>
      </c>
      <c r="K764">
        <v>0</v>
      </c>
      <c r="L764">
        <v>6</v>
      </c>
      <c r="M764" s="5">
        <v>1.4</v>
      </c>
      <c r="N764" s="4">
        <f t="shared" si="11"/>
        <v>2.69</v>
      </c>
      <c r="O764">
        <f>HOUR(TIMEVALUE(RetailTransactions[[#This Row],[Time]]))</f>
        <v>7</v>
      </c>
    </row>
    <row r="765" spans="1:15">
      <c r="A765" t="s">
        <v>977</v>
      </c>
      <c r="B765" s="3">
        <v>46249</v>
      </c>
      <c r="C765" t="s">
        <v>409</v>
      </c>
      <c r="D765" t="s">
        <v>66</v>
      </c>
      <c r="E765" t="s">
        <v>57</v>
      </c>
      <c r="F765" t="s">
        <v>43</v>
      </c>
      <c r="G765">
        <v>1</v>
      </c>
      <c r="H765" s="4">
        <v>1.44</v>
      </c>
      <c r="I765" t="s">
        <v>30</v>
      </c>
      <c r="J765">
        <v>17</v>
      </c>
      <c r="K765">
        <v>0</v>
      </c>
      <c r="L765">
        <v>4</v>
      </c>
      <c r="M765" s="5">
        <v>3.4</v>
      </c>
      <c r="N765" s="4">
        <f t="shared" si="11"/>
        <v>1.44</v>
      </c>
      <c r="O765">
        <f>HOUR(TIMEVALUE(RetailTransactions[[#This Row],[Time]]))</f>
        <v>21</v>
      </c>
    </row>
    <row r="766" spans="1:15">
      <c r="A766" t="s">
        <v>978</v>
      </c>
      <c r="B766" s="3">
        <v>46185</v>
      </c>
      <c r="C766" t="s">
        <v>52</v>
      </c>
      <c r="D766" t="s">
        <v>72</v>
      </c>
      <c r="E766" t="s">
        <v>28</v>
      </c>
      <c r="F766" t="s">
        <v>29</v>
      </c>
      <c r="G766">
        <v>3</v>
      </c>
      <c r="H766" s="4">
        <v>3.29</v>
      </c>
      <c r="I766" t="s">
        <v>19</v>
      </c>
      <c r="J766">
        <v>55</v>
      </c>
      <c r="K766">
        <v>0</v>
      </c>
      <c r="L766">
        <v>7</v>
      </c>
      <c r="M766" s="5">
        <v>1.1000000000000001</v>
      </c>
      <c r="N766" s="4">
        <f t="shared" si="11"/>
        <v>9.870000000000001</v>
      </c>
      <c r="O766">
        <f>HOUR(TIMEVALUE(RetailTransactions[[#This Row],[Time]]))</f>
        <v>11</v>
      </c>
    </row>
    <row r="767" spans="1:15">
      <c r="A767" t="s">
        <v>979</v>
      </c>
      <c r="B767" s="3">
        <v>46251</v>
      </c>
      <c r="C767" t="s">
        <v>59</v>
      </c>
      <c r="D767" t="s">
        <v>33</v>
      </c>
      <c r="E767" t="s">
        <v>69</v>
      </c>
      <c r="F767" t="s">
        <v>43</v>
      </c>
      <c r="G767">
        <v>1</v>
      </c>
      <c r="H767" s="4">
        <v>1.99</v>
      </c>
      <c r="I767" t="s">
        <v>19</v>
      </c>
      <c r="J767">
        <v>11</v>
      </c>
      <c r="K767">
        <v>0</v>
      </c>
      <c r="L767">
        <v>6</v>
      </c>
      <c r="M767" s="5">
        <v>4.0999999999999996</v>
      </c>
      <c r="N767" s="4">
        <f t="shared" si="11"/>
        <v>1.99</v>
      </c>
      <c r="O767">
        <f>HOUR(TIMEVALUE(RetailTransactions[[#This Row],[Time]]))</f>
        <v>12</v>
      </c>
    </row>
    <row r="768" spans="1:15">
      <c r="A768" t="s">
        <v>980</v>
      </c>
      <c r="B768" s="3">
        <v>46228</v>
      </c>
      <c r="C768" t="s">
        <v>269</v>
      </c>
      <c r="D768" t="s">
        <v>66</v>
      </c>
      <c r="E768" t="s">
        <v>57</v>
      </c>
      <c r="F768" t="s">
        <v>43</v>
      </c>
      <c r="G768">
        <v>1</v>
      </c>
      <c r="H768" s="4">
        <v>1.69</v>
      </c>
      <c r="I768" t="s">
        <v>19</v>
      </c>
      <c r="J768">
        <v>38</v>
      </c>
      <c r="K768">
        <v>2</v>
      </c>
      <c r="L768">
        <v>6</v>
      </c>
      <c r="M768" s="5">
        <v>4.5</v>
      </c>
      <c r="N768" s="4">
        <f t="shared" si="11"/>
        <v>1.69</v>
      </c>
      <c r="O768">
        <f>HOUR(TIMEVALUE(RetailTransactions[[#This Row],[Time]]))</f>
        <v>17</v>
      </c>
    </row>
    <row r="769" spans="1:15">
      <c r="A769" t="s">
        <v>981</v>
      </c>
      <c r="B769" s="3">
        <v>46231</v>
      </c>
      <c r="C769" t="s">
        <v>224</v>
      </c>
      <c r="D769" t="s">
        <v>22</v>
      </c>
      <c r="E769" t="s">
        <v>34</v>
      </c>
      <c r="F769" t="s">
        <v>24</v>
      </c>
      <c r="G769">
        <v>1</v>
      </c>
      <c r="H769" s="4">
        <v>1.49</v>
      </c>
      <c r="I769" t="s">
        <v>19</v>
      </c>
      <c r="J769">
        <v>8</v>
      </c>
      <c r="K769">
        <v>0</v>
      </c>
      <c r="L769">
        <v>7</v>
      </c>
      <c r="M769" s="5">
        <v>5.7</v>
      </c>
      <c r="N769" s="4">
        <f t="shared" si="11"/>
        <v>1.49</v>
      </c>
      <c r="O769">
        <f>HOUR(TIMEVALUE(RetailTransactions[[#This Row],[Time]]))</f>
        <v>19</v>
      </c>
    </row>
    <row r="770" spans="1:15">
      <c r="A770" t="s">
        <v>982</v>
      </c>
      <c r="B770" s="3">
        <v>46182</v>
      </c>
      <c r="C770" t="s">
        <v>119</v>
      </c>
      <c r="D770" t="s">
        <v>22</v>
      </c>
      <c r="E770" t="s">
        <v>78</v>
      </c>
      <c r="F770" t="s">
        <v>39</v>
      </c>
      <c r="G770">
        <v>3</v>
      </c>
      <c r="H770" s="4">
        <v>1.55</v>
      </c>
      <c r="I770" t="s">
        <v>19</v>
      </c>
      <c r="J770">
        <v>17</v>
      </c>
      <c r="K770">
        <v>0</v>
      </c>
      <c r="L770">
        <v>4</v>
      </c>
      <c r="M770" s="5">
        <v>3.4</v>
      </c>
      <c r="N770" s="4">
        <f t="shared" ref="N770:N833" si="12">G770*H770</f>
        <v>4.6500000000000004</v>
      </c>
      <c r="O770">
        <f>HOUR(TIMEVALUE(RetailTransactions[[#This Row],[Time]]))</f>
        <v>10</v>
      </c>
    </row>
    <row r="771" spans="1:15">
      <c r="A771" t="s">
        <v>983</v>
      </c>
      <c r="B771" s="3">
        <v>46249</v>
      </c>
      <c r="C771" t="s">
        <v>215</v>
      </c>
      <c r="D771" t="s">
        <v>66</v>
      </c>
      <c r="E771" t="s">
        <v>38</v>
      </c>
      <c r="F771" t="s">
        <v>39</v>
      </c>
      <c r="G771">
        <v>1</v>
      </c>
      <c r="H771" s="4">
        <v>2.37</v>
      </c>
      <c r="I771" t="s">
        <v>30</v>
      </c>
      <c r="J771">
        <v>59</v>
      </c>
      <c r="K771">
        <v>0</v>
      </c>
      <c r="L771">
        <v>7</v>
      </c>
      <c r="M771" s="5">
        <v>6</v>
      </c>
      <c r="N771" s="4">
        <f t="shared" si="12"/>
        <v>2.37</v>
      </c>
      <c r="O771">
        <f>HOUR(TIMEVALUE(RetailTransactions[[#This Row],[Time]]))</f>
        <v>12</v>
      </c>
    </row>
    <row r="772" spans="1:15">
      <c r="A772" t="s">
        <v>984</v>
      </c>
      <c r="B772" s="3">
        <v>46204</v>
      </c>
      <c r="C772" t="s">
        <v>224</v>
      </c>
      <c r="D772" t="s">
        <v>16</v>
      </c>
      <c r="E772" t="s">
        <v>115</v>
      </c>
      <c r="F772" t="s">
        <v>29</v>
      </c>
      <c r="G772">
        <v>1</v>
      </c>
      <c r="H772" s="4">
        <v>3.39</v>
      </c>
      <c r="I772" t="s">
        <v>30</v>
      </c>
      <c r="J772">
        <v>12</v>
      </c>
      <c r="K772">
        <v>0</v>
      </c>
      <c r="L772">
        <v>8</v>
      </c>
      <c r="M772" s="5">
        <v>3.1</v>
      </c>
      <c r="N772" s="4">
        <f t="shared" si="12"/>
        <v>3.39</v>
      </c>
      <c r="O772">
        <f>HOUR(TIMEVALUE(RetailTransactions[[#This Row],[Time]]))</f>
        <v>19</v>
      </c>
    </row>
    <row r="773" spans="1:15">
      <c r="A773" t="s">
        <v>985</v>
      </c>
      <c r="B773" s="3">
        <v>46240</v>
      </c>
      <c r="C773" t="s">
        <v>415</v>
      </c>
      <c r="D773" t="s">
        <v>37</v>
      </c>
      <c r="E773" t="s">
        <v>57</v>
      </c>
      <c r="F773" t="s">
        <v>43</v>
      </c>
      <c r="G773">
        <v>1</v>
      </c>
      <c r="H773" s="4">
        <v>1.44</v>
      </c>
      <c r="I773" t="s">
        <v>30</v>
      </c>
      <c r="J773">
        <v>46</v>
      </c>
      <c r="K773">
        <v>0</v>
      </c>
      <c r="L773">
        <v>5</v>
      </c>
      <c r="M773" s="5">
        <v>3.2</v>
      </c>
      <c r="N773" s="4">
        <f t="shared" si="12"/>
        <v>1.44</v>
      </c>
      <c r="O773">
        <f>HOUR(TIMEVALUE(RetailTransactions[[#This Row],[Time]]))</f>
        <v>14</v>
      </c>
    </row>
    <row r="774" spans="1:15">
      <c r="A774" t="s">
        <v>986</v>
      </c>
      <c r="B774" s="3">
        <v>46224</v>
      </c>
      <c r="C774" t="s">
        <v>202</v>
      </c>
      <c r="D774" t="s">
        <v>22</v>
      </c>
      <c r="E774" t="s">
        <v>106</v>
      </c>
      <c r="F774" t="s">
        <v>18</v>
      </c>
      <c r="G774">
        <v>1</v>
      </c>
      <c r="H774" s="4">
        <v>1.89</v>
      </c>
      <c r="I774" t="s">
        <v>19</v>
      </c>
      <c r="J774">
        <v>38</v>
      </c>
      <c r="K774">
        <v>0</v>
      </c>
      <c r="L774">
        <v>9</v>
      </c>
      <c r="M774" s="5">
        <v>5.8</v>
      </c>
      <c r="N774" s="4">
        <f t="shared" si="12"/>
        <v>1.89</v>
      </c>
      <c r="O774">
        <f>HOUR(TIMEVALUE(RetailTransactions[[#This Row],[Time]]))</f>
        <v>13</v>
      </c>
    </row>
    <row r="775" spans="1:15">
      <c r="A775" t="s">
        <v>987</v>
      </c>
      <c r="B775" s="3">
        <v>46200</v>
      </c>
      <c r="C775" t="s">
        <v>154</v>
      </c>
      <c r="D775" t="s">
        <v>66</v>
      </c>
      <c r="E775" t="s">
        <v>106</v>
      </c>
      <c r="F775" t="s">
        <v>18</v>
      </c>
      <c r="G775">
        <v>1</v>
      </c>
      <c r="H775" s="4">
        <v>1.89</v>
      </c>
      <c r="I775" t="s">
        <v>19</v>
      </c>
      <c r="J775">
        <v>37</v>
      </c>
      <c r="K775">
        <v>0</v>
      </c>
      <c r="L775">
        <v>7</v>
      </c>
      <c r="M775" s="5">
        <v>1.8</v>
      </c>
      <c r="N775" s="4">
        <f t="shared" si="12"/>
        <v>1.89</v>
      </c>
      <c r="O775">
        <f>HOUR(TIMEVALUE(RetailTransactions[[#This Row],[Time]]))</f>
        <v>16</v>
      </c>
    </row>
    <row r="776" spans="1:15">
      <c r="A776" t="s">
        <v>988</v>
      </c>
      <c r="B776" s="3">
        <v>46262</v>
      </c>
      <c r="C776" t="s">
        <v>26</v>
      </c>
      <c r="D776" t="s">
        <v>72</v>
      </c>
      <c r="E776" t="s">
        <v>120</v>
      </c>
      <c r="F776" t="s">
        <v>50</v>
      </c>
      <c r="G776">
        <v>1</v>
      </c>
      <c r="H776" s="4">
        <v>2.25</v>
      </c>
      <c r="I776" t="s">
        <v>19</v>
      </c>
      <c r="J776">
        <v>26</v>
      </c>
      <c r="K776">
        <v>0</v>
      </c>
      <c r="L776">
        <v>6</v>
      </c>
      <c r="M776" s="5">
        <v>6.3</v>
      </c>
      <c r="N776" s="4">
        <f t="shared" si="12"/>
        <v>2.25</v>
      </c>
      <c r="O776">
        <f>HOUR(TIMEVALUE(RetailTransactions[[#This Row],[Time]]))</f>
        <v>13</v>
      </c>
    </row>
    <row r="777" spans="1:15">
      <c r="A777" t="s">
        <v>989</v>
      </c>
      <c r="B777" s="3">
        <v>46241</v>
      </c>
      <c r="C777" t="s">
        <v>594</v>
      </c>
      <c r="D777" t="s">
        <v>72</v>
      </c>
      <c r="E777" t="s">
        <v>60</v>
      </c>
      <c r="F777" t="s">
        <v>29</v>
      </c>
      <c r="G777">
        <v>3</v>
      </c>
      <c r="H777" s="4">
        <v>2.69</v>
      </c>
      <c r="I777" t="s">
        <v>19</v>
      </c>
      <c r="J777">
        <v>53</v>
      </c>
      <c r="K777">
        <v>1</v>
      </c>
      <c r="L777">
        <v>5</v>
      </c>
      <c r="M777" s="5">
        <v>2.5</v>
      </c>
      <c r="N777" s="4">
        <f t="shared" si="12"/>
        <v>8.07</v>
      </c>
      <c r="O777">
        <f>HOUR(TIMEVALUE(RetailTransactions[[#This Row],[Time]]))</f>
        <v>9</v>
      </c>
    </row>
    <row r="778" spans="1:15">
      <c r="A778" t="s">
        <v>990</v>
      </c>
      <c r="B778" s="3">
        <v>46176</v>
      </c>
      <c r="C778" t="s">
        <v>21</v>
      </c>
      <c r="D778" t="s">
        <v>16</v>
      </c>
      <c r="E778" t="s">
        <v>63</v>
      </c>
      <c r="F778" t="s">
        <v>50</v>
      </c>
      <c r="G778">
        <v>1</v>
      </c>
      <c r="H778" s="4">
        <v>3.49</v>
      </c>
      <c r="I778" t="s">
        <v>19</v>
      </c>
      <c r="J778">
        <v>32</v>
      </c>
      <c r="K778">
        <v>0</v>
      </c>
      <c r="L778">
        <v>4</v>
      </c>
      <c r="M778" s="5">
        <v>3.8</v>
      </c>
      <c r="N778" s="4">
        <f t="shared" si="12"/>
        <v>3.49</v>
      </c>
      <c r="O778">
        <f>HOUR(TIMEVALUE(RetailTransactions[[#This Row],[Time]]))</f>
        <v>16</v>
      </c>
    </row>
    <row r="779" spans="1:15">
      <c r="A779" t="s">
        <v>991</v>
      </c>
      <c r="B779" s="3">
        <v>46203</v>
      </c>
      <c r="C779" t="s">
        <v>365</v>
      </c>
      <c r="D779" t="s">
        <v>22</v>
      </c>
      <c r="E779" t="s">
        <v>125</v>
      </c>
      <c r="F779" t="s">
        <v>39</v>
      </c>
      <c r="G779">
        <v>3</v>
      </c>
      <c r="H779" s="4">
        <v>1.85</v>
      </c>
      <c r="I779" t="s">
        <v>19</v>
      </c>
      <c r="J779">
        <v>18</v>
      </c>
      <c r="K779">
        <v>0</v>
      </c>
      <c r="L779">
        <v>8</v>
      </c>
      <c r="M779" s="5">
        <v>4.3</v>
      </c>
      <c r="N779" s="4">
        <f t="shared" si="12"/>
        <v>5.5500000000000007</v>
      </c>
      <c r="O779">
        <f>HOUR(TIMEVALUE(RetailTransactions[[#This Row],[Time]]))</f>
        <v>19</v>
      </c>
    </row>
    <row r="780" spans="1:15">
      <c r="A780" t="s">
        <v>992</v>
      </c>
      <c r="B780" s="3">
        <v>46174</v>
      </c>
      <c r="C780" t="s">
        <v>303</v>
      </c>
      <c r="D780" t="s">
        <v>33</v>
      </c>
      <c r="E780" t="s">
        <v>85</v>
      </c>
      <c r="F780" t="s">
        <v>18</v>
      </c>
      <c r="G780">
        <v>2</v>
      </c>
      <c r="H780" s="4">
        <v>2.4900000000000002</v>
      </c>
      <c r="I780" t="s">
        <v>19</v>
      </c>
      <c r="J780">
        <v>35</v>
      </c>
      <c r="K780">
        <v>0</v>
      </c>
      <c r="L780">
        <v>4</v>
      </c>
      <c r="M780" s="5">
        <v>3.6</v>
      </c>
      <c r="N780" s="4">
        <f t="shared" si="12"/>
        <v>4.9800000000000004</v>
      </c>
      <c r="O780">
        <f>HOUR(TIMEVALUE(RetailTransactions[[#This Row],[Time]]))</f>
        <v>16</v>
      </c>
    </row>
    <row r="781" spans="1:15">
      <c r="A781" t="s">
        <v>993</v>
      </c>
      <c r="B781" s="3">
        <v>46191</v>
      </c>
      <c r="C781" t="s">
        <v>84</v>
      </c>
      <c r="D781" t="s">
        <v>37</v>
      </c>
      <c r="E781" t="s">
        <v>78</v>
      </c>
      <c r="F781" t="s">
        <v>39</v>
      </c>
      <c r="G781">
        <v>1</v>
      </c>
      <c r="H781" s="4">
        <v>1.55</v>
      </c>
      <c r="I781" t="s">
        <v>19</v>
      </c>
      <c r="J781">
        <v>56</v>
      </c>
      <c r="K781">
        <v>1</v>
      </c>
      <c r="L781">
        <v>6</v>
      </c>
      <c r="M781" s="5">
        <v>2.8</v>
      </c>
      <c r="N781" s="4">
        <f t="shared" si="12"/>
        <v>1.55</v>
      </c>
      <c r="O781">
        <f>HOUR(TIMEVALUE(RetailTransactions[[#This Row],[Time]]))</f>
        <v>14</v>
      </c>
    </row>
    <row r="782" spans="1:15">
      <c r="A782" t="s">
        <v>994</v>
      </c>
      <c r="B782" s="3">
        <v>46207</v>
      </c>
      <c r="C782" t="s">
        <v>519</v>
      </c>
      <c r="D782" t="s">
        <v>66</v>
      </c>
      <c r="E782" t="s">
        <v>63</v>
      </c>
      <c r="F782" t="s">
        <v>50</v>
      </c>
      <c r="G782">
        <v>2</v>
      </c>
      <c r="H782" s="4">
        <v>2.97</v>
      </c>
      <c r="I782" t="s">
        <v>30</v>
      </c>
      <c r="J782">
        <v>39</v>
      </c>
      <c r="K782">
        <v>0</v>
      </c>
      <c r="L782">
        <v>9</v>
      </c>
      <c r="M782" s="5">
        <v>3.9</v>
      </c>
      <c r="N782" s="4">
        <f t="shared" si="12"/>
        <v>5.94</v>
      </c>
      <c r="O782">
        <f>HOUR(TIMEVALUE(RetailTransactions[[#This Row],[Time]]))</f>
        <v>13</v>
      </c>
    </row>
    <row r="783" spans="1:15">
      <c r="A783" t="s">
        <v>995</v>
      </c>
      <c r="B783" s="3">
        <v>46174</v>
      </c>
      <c r="C783" t="s">
        <v>618</v>
      </c>
      <c r="D783" t="s">
        <v>33</v>
      </c>
      <c r="E783" t="s">
        <v>69</v>
      </c>
      <c r="F783" t="s">
        <v>43</v>
      </c>
      <c r="G783">
        <v>4</v>
      </c>
      <c r="H783" s="4">
        <v>1.69</v>
      </c>
      <c r="I783" t="s">
        <v>30</v>
      </c>
      <c r="J783">
        <v>33</v>
      </c>
      <c r="K783">
        <v>0</v>
      </c>
      <c r="L783">
        <v>6</v>
      </c>
      <c r="M783" s="5">
        <v>2.2999999999999998</v>
      </c>
      <c r="N783" s="4">
        <f t="shared" si="12"/>
        <v>6.76</v>
      </c>
      <c r="O783">
        <f>HOUR(TIMEVALUE(RetailTransactions[[#This Row],[Time]]))</f>
        <v>8</v>
      </c>
    </row>
    <row r="784" spans="1:15">
      <c r="A784" t="s">
        <v>996</v>
      </c>
      <c r="B784" s="3">
        <v>46248</v>
      </c>
      <c r="C784" t="s">
        <v>327</v>
      </c>
      <c r="D784" t="s">
        <v>72</v>
      </c>
      <c r="E784" t="s">
        <v>17</v>
      </c>
      <c r="F784" t="s">
        <v>18</v>
      </c>
      <c r="G784">
        <v>3</v>
      </c>
      <c r="H784" s="4">
        <v>1.75</v>
      </c>
      <c r="I784" t="s">
        <v>19</v>
      </c>
      <c r="J784">
        <v>32</v>
      </c>
      <c r="K784">
        <v>0</v>
      </c>
      <c r="L784">
        <v>6</v>
      </c>
      <c r="M784" s="5">
        <v>5.0999999999999996</v>
      </c>
      <c r="N784" s="4">
        <f t="shared" si="12"/>
        <v>5.25</v>
      </c>
      <c r="O784">
        <f>HOUR(TIMEVALUE(RetailTransactions[[#This Row],[Time]]))</f>
        <v>19</v>
      </c>
    </row>
    <row r="785" spans="1:15">
      <c r="A785" t="s">
        <v>997</v>
      </c>
      <c r="B785" s="3">
        <v>46227</v>
      </c>
      <c r="C785" t="s">
        <v>277</v>
      </c>
      <c r="D785" t="s">
        <v>72</v>
      </c>
      <c r="E785" t="s">
        <v>34</v>
      </c>
      <c r="F785" t="s">
        <v>24</v>
      </c>
      <c r="G785">
        <v>1</v>
      </c>
      <c r="H785" s="4">
        <v>1.49</v>
      </c>
      <c r="I785" t="s">
        <v>19</v>
      </c>
      <c r="J785">
        <v>60</v>
      </c>
      <c r="K785">
        <v>0</v>
      </c>
      <c r="L785">
        <v>5</v>
      </c>
      <c r="M785" s="5">
        <v>4</v>
      </c>
      <c r="N785" s="4">
        <f t="shared" si="12"/>
        <v>1.49</v>
      </c>
      <c r="O785">
        <f>HOUR(TIMEVALUE(RetailTransactions[[#This Row],[Time]]))</f>
        <v>9</v>
      </c>
    </row>
    <row r="786" spans="1:15">
      <c r="A786" t="s">
        <v>998</v>
      </c>
      <c r="B786" s="3">
        <v>46200</v>
      </c>
      <c r="C786" t="s">
        <v>122</v>
      </c>
      <c r="D786" t="s">
        <v>66</v>
      </c>
      <c r="E786" t="s">
        <v>125</v>
      </c>
      <c r="F786" t="s">
        <v>39</v>
      </c>
      <c r="G786">
        <v>1</v>
      </c>
      <c r="H786" s="4">
        <v>1.85</v>
      </c>
      <c r="I786" t="s">
        <v>19</v>
      </c>
      <c r="J786">
        <v>12</v>
      </c>
      <c r="K786">
        <v>0</v>
      </c>
      <c r="L786">
        <v>9</v>
      </c>
      <c r="M786" s="5">
        <v>4.9000000000000004</v>
      </c>
      <c r="N786" s="4">
        <f t="shared" si="12"/>
        <v>1.85</v>
      </c>
      <c r="O786">
        <f>HOUR(TIMEVALUE(RetailTransactions[[#This Row],[Time]]))</f>
        <v>12</v>
      </c>
    </row>
    <row r="787" spans="1:15">
      <c r="A787" t="s">
        <v>999</v>
      </c>
      <c r="B787" s="3">
        <v>46264</v>
      </c>
      <c r="C787" t="s">
        <v>168</v>
      </c>
      <c r="D787" t="s">
        <v>27</v>
      </c>
      <c r="E787" t="s">
        <v>106</v>
      </c>
      <c r="F787" t="s">
        <v>18</v>
      </c>
      <c r="G787">
        <v>1</v>
      </c>
      <c r="H787" s="4">
        <v>1.89</v>
      </c>
      <c r="I787" t="s">
        <v>19</v>
      </c>
      <c r="J787">
        <v>8</v>
      </c>
      <c r="K787">
        <v>0</v>
      </c>
      <c r="L787">
        <v>7</v>
      </c>
      <c r="M787" s="5">
        <v>5.4</v>
      </c>
      <c r="N787" s="4">
        <f t="shared" si="12"/>
        <v>1.89</v>
      </c>
      <c r="O787">
        <f>HOUR(TIMEVALUE(RetailTransactions[[#This Row],[Time]]))</f>
        <v>13</v>
      </c>
    </row>
    <row r="788" spans="1:15">
      <c r="A788" t="s">
        <v>1000</v>
      </c>
      <c r="B788" s="3">
        <v>46198</v>
      </c>
      <c r="C788" t="s">
        <v>202</v>
      </c>
      <c r="D788" t="s">
        <v>37</v>
      </c>
      <c r="E788" t="s">
        <v>34</v>
      </c>
      <c r="F788" t="s">
        <v>24</v>
      </c>
      <c r="G788">
        <v>3</v>
      </c>
      <c r="H788" s="4">
        <v>1.27</v>
      </c>
      <c r="I788" t="s">
        <v>30</v>
      </c>
      <c r="J788">
        <v>6</v>
      </c>
      <c r="K788">
        <v>0</v>
      </c>
      <c r="L788">
        <v>6</v>
      </c>
      <c r="M788" s="5">
        <v>4.0999999999999996</v>
      </c>
      <c r="N788" s="4">
        <f t="shared" si="12"/>
        <v>3.81</v>
      </c>
      <c r="O788">
        <f>HOUR(TIMEVALUE(RetailTransactions[[#This Row],[Time]]))</f>
        <v>13</v>
      </c>
    </row>
    <row r="789" spans="1:15">
      <c r="A789" t="s">
        <v>1001</v>
      </c>
      <c r="B789" s="3">
        <v>46189</v>
      </c>
      <c r="C789" t="s">
        <v>247</v>
      </c>
      <c r="D789" t="s">
        <v>22</v>
      </c>
      <c r="E789" t="s">
        <v>69</v>
      </c>
      <c r="F789" t="s">
        <v>43</v>
      </c>
      <c r="G789">
        <v>1</v>
      </c>
      <c r="H789" s="4">
        <v>1.99</v>
      </c>
      <c r="I789" t="s">
        <v>19</v>
      </c>
      <c r="J789">
        <v>25</v>
      </c>
      <c r="K789">
        <v>0</v>
      </c>
      <c r="L789">
        <v>7</v>
      </c>
      <c r="M789" s="5">
        <v>6.1</v>
      </c>
      <c r="N789" s="4">
        <f t="shared" si="12"/>
        <v>1.99</v>
      </c>
      <c r="O789">
        <f>HOUR(TIMEVALUE(RetailTransactions[[#This Row],[Time]]))</f>
        <v>17</v>
      </c>
    </row>
    <row r="790" spans="1:15">
      <c r="A790" t="s">
        <v>1002</v>
      </c>
      <c r="B790" s="3">
        <v>46219</v>
      </c>
      <c r="C790" t="s">
        <v>114</v>
      </c>
      <c r="D790" t="s">
        <v>37</v>
      </c>
      <c r="E790" t="s">
        <v>125</v>
      </c>
      <c r="F790" t="s">
        <v>39</v>
      </c>
      <c r="G790">
        <v>1</v>
      </c>
      <c r="H790" s="4">
        <v>1.85</v>
      </c>
      <c r="I790" t="s">
        <v>19</v>
      </c>
      <c r="J790">
        <v>39</v>
      </c>
      <c r="K790">
        <v>0</v>
      </c>
      <c r="L790">
        <v>9</v>
      </c>
      <c r="M790" s="5">
        <v>5.6</v>
      </c>
      <c r="N790" s="4">
        <f t="shared" si="12"/>
        <v>1.85</v>
      </c>
      <c r="O790">
        <f>HOUR(TIMEVALUE(RetailTransactions[[#This Row],[Time]]))</f>
        <v>17</v>
      </c>
    </row>
    <row r="791" spans="1:15">
      <c r="A791" t="s">
        <v>1003</v>
      </c>
      <c r="B791" s="3">
        <v>46219</v>
      </c>
      <c r="C791" t="s">
        <v>132</v>
      </c>
      <c r="D791" t="s">
        <v>37</v>
      </c>
      <c r="E791" t="s">
        <v>78</v>
      </c>
      <c r="F791" t="s">
        <v>39</v>
      </c>
      <c r="G791">
        <v>2</v>
      </c>
      <c r="H791" s="4">
        <v>1.55</v>
      </c>
      <c r="I791" t="s">
        <v>19</v>
      </c>
      <c r="J791">
        <v>60</v>
      </c>
      <c r="K791">
        <v>0</v>
      </c>
      <c r="L791">
        <v>9</v>
      </c>
      <c r="M791" s="5">
        <v>5.4</v>
      </c>
      <c r="N791" s="4">
        <f t="shared" si="12"/>
        <v>3.1</v>
      </c>
      <c r="O791">
        <f>HOUR(TIMEVALUE(RetailTransactions[[#This Row],[Time]]))</f>
        <v>19</v>
      </c>
    </row>
    <row r="792" spans="1:15">
      <c r="A792" t="s">
        <v>1004</v>
      </c>
      <c r="B792" s="3">
        <v>46212</v>
      </c>
      <c r="C792" t="s">
        <v>627</v>
      </c>
      <c r="D792" t="s">
        <v>37</v>
      </c>
      <c r="E792" t="s">
        <v>85</v>
      </c>
      <c r="F792" t="s">
        <v>18</v>
      </c>
      <c r="G792">
        <v>1</v>
      </c>
      <c r="H792" s="4">
        <v>2.12</v>
      </c>
      <c r="I792" t="s">
        <v>30</v>
      </c>
      <c r="J792">
        <v>46</v>
      </c>
      <c r="K792">
        <v>0</v>
      </c>
      <c r="L792">
        <v>7</v>
      </c>
      <c r="M792" s="5">
        <v>1.1000000000000001</v>
      </c>
      <c r="N792" s="4">
        <f t="shared" si="12"/>
        <v>2.12</v>
      </c>
      <c r="O792">
        <f>HOUR(TIMEVALUE(RetailTransactions[[#This Row],[Time]]))</f>
        <v>15</v>
      </c>
    </row>
    <row r="793" spans="1:15">
      <c r="A793" t="s">
        <v>1005</v>
      </c>
      <c r="B793" s="3">
        <v>46209</v>
      </c>
      <c r="C793" t="s">
        <v>87</v>
      </c>
      <c r="D793" t="s">
        <v>33</v>
      </c>
      <c r="E793" t="s">
        <v>49</v>
      </c>
      <c r="F793" t="s">
        <v>50</v>
      </c>
      <c r="G793">
        <v>2</v>
      </c>
      <c r="H793" s="4">
        <v>3.95</v>
      </c>
      <c r="I793" t="s">
        <v>19</v>
      </c>
      <c r="J793">
        <v>44</v>
      </c>
      <c r="K793">
        <v>0</v>
      </c>
      <c r="L793">
        <v>9</v>
      </c>
      <c r="M793" s="5">
        <v>6.5</v>
      </c>
      <c r="N793" s="4">
        <f t="shared" si="12"/>
        <v>7.9</v>
      </c>
      <c r="O793">
        <f>HOUR(TIMEVALUE(RetailTransactions[[#This Row],[Time]]))</f>
        <v>19</v>
      </c>
    </row>
    <row r="794" spans="1:15">
      <c r="A794" t="s">
        <v>1006</v>
      </c>
      <c r="B794" s="3">
        <v>46230</v>
      </c>
      <c r="C794" t="s">
        <v>156</v>
      </c>
      <c r="D794" t="s">
        <v>33</v>
      </c>
      <c r="E794" t="s">
        <v>38</v>
      </c>
      <c r="F794" t="s">
        <v>39</v>
      </c>
      <c r="G794">
        <v>1</v>
      </c>
      <c r="H794" s="4">
        <v>2.79</v>
      </c>
      <c r="I794" t="s">
        <v>19</v>
      </c>
      <c r="J794">
        <v>24</v>
      </c>
      <c r="K794">
        <v>0</v>
      </c>
      <c r="L794">
        <v>4</v>
      </c>
      <c r="M794" s="5">
        <v>3.4</v>
      </c>
      <c r="N794" s="4">
        <f t="shared" si="12"/>
        <v>2.79</v>
      </c>
      <c r="O794">
        <f>HOUR(TIMEVALUE(RetailTransactions[[#This Row],[Time]]))</f>
        <v>16</v>
      </c>
    </row>
    <row r="795" spans="1:15">
      <c r="A795" t="s">
        <v>1007</v>
      </c>
      <c r="B795" s="3">
        <v>46223</v>
      </c>
      <c r="C795" t="s">
        <v>221</v>
      </c>
      <c r="D795" t="s">
        <v>33</v>
      </c>
      <c r="E795" t="s">
        <v>34</v>
      </c>
      <c r="F795" t="s">
        <v>24</v>
      </c>
      <c r="G795">
        <v>3</v>
      </c>
      <c r="H795" s="4">
        <v>1.27</v>
      </c>
      <c r="I795" t="s">
        <v>30</v>
      </c>
      <c r="J795">
        <v>41</v>
      </c>
      <c r="K795">
        <v>1</v>
      </c>
      <c r="L795">
        <v>4</v>
      </c>
      <c r="M795" s="5">
        <v>4.3</v>
      </c>
      <c r="N795" s="4">
        <f t="shared" si="12"/>
        <v>3.81</v>
      </c>
      <c r="O795">
        <f>HOUR(TIMEVALUE(RetailTransactions[[#This Row],[Time]]))</f>
        <v>15</v>
      </c>
    </row>
    <row r="796" spans="1:15">
      <c r="A796" t="s">
        <v>1008</v>
      </c>
      <c r="B796" s="3">
        <v>46174</v>
      </c>
      <c r="C796" t="s">
        <v>124</v>
      </c>
      <c r="D796" t="s">
        <v>33</v>
      </c>
      <c r="E796" t="s">
        <v>28</v>
      </c>
      <c r="F796" t="s">
        <v>29</v>
      </c>
      <c r="G796">
        <v>1</v>
      </c>
      <c r="H796" s="4">
        <v>3.29</v>
      </c>
      <c r="I796" t="s">
        <v>19</v>
      </c>
      <c r="J796">
        <v>43</v>
      </c>
      <c r="K796">
        <v>1</v>
      </c>
      <c r="L796">
        <v>8</v>
      </c>
      <c r="M796" s="5">
        <v>5.8</v>
      </c>
      <c r="N796" s="4">
        <f t="shared" si="12"/>
        <v>3.29</v>
      </c>
      <c r="O796">
        <f>HOUR(TIMEVALUE(RetailTransactions[[#This Row],[Time]]))</f>
        <v>18</v>
      </c>
    </row>
    <row r="797" spans="1:15">
      <c r="A797" t="s">
        <v>1009</v>
      </c>
      <c r="B797" s="3">
        <v>46233</v>
      </c>
      <c r="C797" t="s">
        <v>15</v>
      </c>
      <c r="D797" t="s">
        <v>37</v>
      </c>
      <c r="E797" t="s">
        <v>38</v>
      </c>
      <c r="F797" t="s">
        <v>39</v>
      </c>
      <c r="G797">
        <v>1</v>
      </c>
      <c r="H797" s="4">
        <v>2.79</v>
      </c>
      <c r="I797" t="s">
        <v>19</v>
      </c>
      <c r="J797">
        <v>57</v>
      </c>
      <c r="K797">
        <v>0</v>
      </c>
      <c r="L797">
        <v>6</v>
      </c>
      <c r="M797" s="5">
        <v>2.4</v>
      </c>
      <c r="N797" s="4">
        <f t="shared" si="12"/>
        <v>2.79</v>
      </c>
      <c r="O797">
        <f>HOUR(TIMEVALUE(RetailTransactions[[#This Row],[Time]]))</f>
        <v>16</v>
      </c>
    </row>
    <row r="798" spans="1:15">
      <c r="A798" t="s">
        <v>1010</v>
      </c>
      <c r="B798" s="3">
        <v>46180</v>
      </c>
      <c r="C798" t="s">
        <v>101</v>
      </c>
      <c r="D798" t="s">
        <v>27</v>
      </c>
      <c r="E798" t="s">
        <v>38</v>
      </c>
      <c r="F798" t="s">
        <v>39</v>
      </c>
      <c r="G798">
        <v>4</v>
      </c>
      <c r="H798" s="4">
        <v>2.79</v>
      </c>
      <c r="I798" t="s">
        <v>19</v>
      </c>
      <c r="J798">
        <v>42</v>
      </c>
      <c r="K798">
        <v>0</v>
      </c>
      <c r="L798">
        <v>4</v>
      </c>
      <c r="M798" s="5">
        <v>4.7</v>
      </c>
      <c r="N798" s="4">
        <f t="shared" si="12"/>
        <v>11.16</v>
      </c>
      <c r="O798">
        <f>HOUR(TIMEVALUE(RetailTransactions[[#This Row],[Time]]))</f>
        <v>14</v>
      </c>
    </row>
    <row r="799" spans="1:15">
      <c r="A799" t="s">
        <v>1011</v>
      </c>
      <c r="B799" s="3">
        <v>46231</v>
      </c>
      <c r="C799" t="s">
        <v>99</v>
      </c>
      <c r="D799" t="s">
        <v>22</v>
      </c>
      <c r="E799" t="s">
        <v>115</v>
      </c>
      <c r="F799" t="s">
        <v>29</v>
      </c>
      <c r="G799">
        <v>3</v>
      </c>
      <c r="H799" s="4">
        <v>3.99</v>
      </c>
      <c r="I799" t="s">
        <v>19</v>
      </c>
      <c r="J799">
        <v>34</v>
      </c>
      <c r="K799">
        <v>0</v>
      </c>
      <c r="L799">
        <v>7</v>
      </c>
      <c r="M799" s="5">
        <v>1.4</v>
      </c>
      <c r="N799" s="4">
        <f t="shared" si="12"/>
        <v>11.97</v>
      </c>
      <c r="O799">
        <f>HOUR(TIMEVALUE(RetailTransactions[[#This Row],[Time]]))</f>
        <v>16</v>
      </c>
    </row>
    <row r="800" spans="1:15">
      <c r="A800" t="s">
        <v>1012</v>
      </c>
      <c r="B800" s="3">
        <v>46258</v>
      </c>
      <c r="C800" t="s">
        <v>26</v>
      </c>
      <c r="D800" t="s">
        <v>33</v>
      </c>
      <c r="E800" t="s">
        <v>60</v>
      </c>
      <c r="F800" t="s">
        <v>29</v>
      </c>
      <c r="G800">
        <v>1</v>
      </c>
      <c r="H800" s="4">
        <v>2.69</v>
      </c>
      <c r="I800" t="s">
        <v>19</v>
      </c>
      <c r="J800">
        <v>50</v>
      </c>
      <c r="K800">
        <v>0</v>
      </c>
      <c r="L800">
        <v>7</v>
      </c>
      <c r="M800" s="5">
        <v>5</v>
      </c>
      <c r="N800" s="4">
        <f t="shared" si="12"/>
        <v>2.69</v>
      </c>
      <c r="O800">
        <f>HOUR(TIMEVALUE(RetailTransactions[[#This Row],[Time]]))</f>
        <v>13</v>
      </c>
    </row>
    <row r="801" spans="1:15">
      <c r="A801" t="s">
        <v>1013</v>
      </c>
      <c r="B801" s="3">
        <v>46262</v>
      </c>
      <c r="C801" t="s">
        <v>590</v>
      </c>
      <c r="D801" t="s">
        <v>72</v>
      </c>
      <c r="E801" t="s">
        <v>23</v>
      </c>
      <c r="F801" t="s">
        <v>24</v>
      </c>
      <c r="G801">
        <v>1</v>
      </c>
      <c r="H801" s="4">
        <v>0.95</v>
      </c>
      <c r="I801" t="s">
        <v>19</v>
      </c>
      <c r="J801">
        <v>56</v>
      </c>
      <c r="K801">
        <v>1</v>
      </c>
      <c r="L801">
        <v>9</v>
      </c>
      <c r="M801" s="5">
        <v>4.5</v>
      </c>
      <c r="N801" s="4">
        <f t="shared" si="12"/>
        <v>0.95</v>
      </c>
      <c r="O801">
        <f>HOUR(TIMEVALUE(RetailTransactions[[#This Row],[Time]]))</f>
        <v>12</v>
      </c>
    </row>
    <row r="802" spans="1:15">
      <c r="A802" t="s">
        <v>1014</v>
      </c>
      <c r="B802" s="3">
        <v>46229</v>
      </c>
      <c r="C802" t="s">
        <v>207</v>
      </c>
      <c r="D802" t="s">
        <v>27</v>
      </c>
      <c r="E802" t="s">
        <v>60</v>
      </c>
      <c r="F802" t="s">
        <v>29</v>
      </c>
      <c r="G802">
        <v>1</v>
      </c>
      <c r="H802" s="4">
        <v>2.69</v>
      </c>
      <c r="I802" t="s">
        <v>19</v>
      </c>
      <c r="J802">
        <v>5</v>
      </c>
      <c r="K802">
        <v>0</v>
      </c>
      <c r="L802">
        <v>7</v>
      </c>
      <c r="M802" s="5">
        <v>2.6</v>
      </c>
      <c r="N802" s="4">
        <f t="shared" si="12"/>
        <v>2.69</v>
      </c>
      <c r="O802">
        <f>HOUR(TIMEVALUE(RetailTransactions[[#This Row],[Time]]))</f>
        <v>16</v>
      </c>
    </row>
    <row r="803" spans="1:15">
      <c r="A803" t="s">
        <v>1015</v>
      </c>
      <c r="B803" s="3">
        <v>46197</v>
      </c>
      <c r="C803" t="s">
        <v>852</v>
      </c>
      <c r="D803" t="s">
        <v>16</v>
      </c>
      <c r="E803" t="s">
        <v>28</v>
      </c>
      <c r="F803" t="s">
        <v>29</v>
      </c>
      <c r="G803">
        <v>2</v>
      </c>
      <c r="H803" s="4">
        <v>2.8</v>
      </c>
      <c r="I803" t="s">
        <v>30</v>
      </c>
      <c r="J803">
        <v>7</v>
      </c>
      <c r="K803">
        <v>0</v>
      </c>
      <c r="L803">
        <v>7</v>
      </c>
      <c r="M803" s="5">
        <v>2.9</v>
      </c>
      <c r="N803" s="4">
        <f t="shared" si="12"/>
        <v>5.6</v>
      </c>
      <c r="O803">
        <f>HOUR(TIMEVALUE(RetailTransactions[[#This Row],[Time]]))</f>
        <v>20</v>
      </c>
    </row>
    <row r="804" spans="1:15">
      <c r="A804" t="s">
        <v>1016</v>
      </c>
      <c r="B804" s="3">
        <v>46202</v>
      </c>
      <c r="C804" t="s">
        <v>443</v>
      </c>
      <c r="D804" t="s">
        <v>33</v>
      </c>
      <c r="E804" t="s">
        <v>17</v>
      </c>
      <c r="F804" t="s">
        <v>18</v>
      </c>
      <c r="G804">
        <v>3</v>
      </c>
      <c r="H804" s="4">
        <v>1.75</v>
      </c>
      <c r="I804" t="s">
        <v>19</v>
      </c>
      <c r="J804">
        <v>22</v>
      </c>
      <c r="K804">
        <v>0</v>
      </c>
      <c r="L804">
        <v>6</v>
      </c>
      <c r="M804" s="5">
        <v>6</v>
      </c>
      <c r="N804" s="4">
        <f t="shared" si="12"/>
        <v>5.25</v>
      </c>
      <c r="O804">
        <f>HOUR(TIMEVALUE(RetailTransactions[[#This Row],[Time]]))</f>
        <v>17</v>
      </c>
    </row>
    <row r="805" spans="1:15">
      <c r="A805" t="s">
        <v>1017</v>
      </c>
      <c r="B805" s="3">
        <v>46195</v>
      </c>
      <c r="C805" t="s">
        <v>590</v>
      </c>
      <c r="D805" t="s">
        <v>33</v>
      </c>
      <c r="E805" t="s">
        <v>78</v>
      </c>
      <c r="F805" t="s">
        <v>39</v>
      </c>
      <c r="G805">
        <v>2</v>
      </c>
      <c r="H805" s="4">
        <v>1.55</v>
      </c>
      <c r="I805" t="s">
        <v>19</v>
      </c>
      <c r="J805">
        <v>49</v>
      </c>
      <c r="K805">
        <v>0</v>
      </c>
      <c r="L805">
        <v>8</v>
      </c>
      <c r="M805" s="5">
        <v>4.4000000000000004</v>
      </c>
      <c r="N805" s="4">
        <f t="shared" si="12"/>
        <v>3.1</v>
      </c>
      <c r="O805">
        <f>HOUR(TIMEVALUE(RetailTransactions[[#This Row],[Time]]))</f>
        <v>12</v>
      </c>
    </row>
    <row r="806" spans="1:15">
      <c r="A806" t="s">
        <v>1018</v>
      </c>
      <c r="B806" s="3">
        <v>46253</v>
      </c>
      <c r="C806" t="s">
        <v>300</v>
      </c>
      <c r="D806" t="s">
        <v>16</v>
      </c>
      <c r="E806" t="s">
        <v>115</v>
      </c>
      <c r="F806" t="s">
        <v>29</v>
      </c>
      <c r="G806">
        <v>1</v>
      </c>
      <c r="H806" s="4">
        <v>3.99</v>
      </c>
      <c r="I806" t="s">
        <v>19</v>
      </c>
      <c r="J806">
        <v>39</v>
      </c>
      <c r="K806">
        <v>0</v>
      </c>
      <c r="L806">
        <v>8</v>
      </c>
      <c r="M806" s="5">
        <v>4.7</v>
      </c>
      <c r="N806" s="4">
        <f t="shared" si="12"/>
        <v>3.99</v>
      </c>
      <c r="O806">
        <f>HOUR(TIMEVALUE(RetailTransactions[[#This Row],[Time]]))</f>
        <v>18</v>
      </c>
    </row>
    <row r="807" spans="1:15">
      <c r="A807" t="s">
        <v>1019</v>
      </c>
      <c r="B807" s="3">
        <v>46240</v>
      </c>
      <c r="C807" t="s">
        <v>154</v>
      </c>
      <c r="D807" t="s">
        <v>37</v>
      </c>
      <c r="E807" t="s">
        <v>42</v>
      </c>
      <c r="F807" t="s">
        <v>43</v>
      </c>
      <c r="G807">
        <v>1</v>
      </c>
      <c r="H807" s="4">
        <v>1.18</v>
      </c>
      <c r="I807" t="s">
        <v>30</v>
      </c>
      <c r="J807">
        <v>47</v>
      </c>
      <c r="K807">
        <v>0</v>
      </c>
      <c r="L807">
        <v>4</v>
      </c>
      <c r="M807" s="5">
        <v>4.5</v>
      </c>
      <c r="N807" s="4">
        <f t="shared" si="12"/>
        <v>1.18</v>
      </c>
      <c r="O807">
        <f>HOUR(TIMEVALUE(RetailTransactions[[#This Row],[Time]]))</f>
        <v>16</v>
      </c>
    </row>
    <row r="808" spans="1:15">
      <c r="A808" t="s">
        <v>1020</v>
      </c>
      <c r="B808" s="3">
        <v>46208</v>
      </c>
      <c r="C808" t="s">
        <v>117</v>
      </c>
      <c r="D808" t="s">
        <v>27</v>
      </c>
      <c r="E808" t="s">
        <v>115</v>
      </c>
      <c r="F808" t="s">
        <v>29</v>
      </c>
      <c r="G808">
        <v>3</v>
      </c>
      <c r="H808" s="4">
        <v>3.99</v>
      </c>
      <c r="I808" t="s">
        <v>19</v>
      </c>
      <c r="J808">
        <v>10</v>
      </c>
      <c r="K808">
        <v>0</v>
      </c>
      <c r="L808">
        <v>8</v>
      </c>
      <c r="M808" s="5">
        <v>3</v>
      </c>
      <c r="N808" s="4">
        <f t="shared" si="12"/>
        <v>11.97</v>
      </c>
      <c r="O808">
        <f>HOUR(TIMEVALUE(RetailTransactions[[#This Row],[Time]]))</f>
        <v>18</v>
      </c>
    </row>
    <row r="809" spans="1:15">
      <c r="A809" t="s">
        <v>1021</v>
      </c>
      <c r="B809" s="3">
        <v>46184</v>
      </c>
      <c r="C809" t="s">
        <v>852</v>
      </c>
      <c r="D809" t="s">
        <v>37</v>
      </c>
      <c r="E809" t="s">
        <v>115</v>
      </c>
      <c r="F809" t="s">
        <v>29</v>
      </c>
      <c r="G809">
        <v>1</v>
      </c>
      <c r="H809" s="4">
        <v>3.99</v>
      </c>
      <c r="I809" t="s">
        <v>19</v>
      </c>
      <c r="J809">
        <v>18</v>
      </c>
      <c r="K809">
        <v>0</v>
      </c>
      <c r="L809">
        <v>4</v>
      </c>
      <c r="M809" s="5">
        <v>3.8</v>
      </c>
      <c r="N809" s="4">
        <f t="shared" si="12"/>
        <v>3.99</v>
      </c>
      <c r="O809">
        <f>HOUR(TIMEVALUE(RetailTransactions[[#This Row],[Time]]))</f>
        <v>20</v>
      </c>
    </row>
    <row r="810" spans="1:15">
      <c r="A810" t="s">
        <v>1022</v>
      </c>
      <c r="B810" s="3">
        <v>46178</v>
      </c>
      <c r="C810" t="s">
        <v>523</v>
      </c>
      <c r="D810" t="s">
        <v>72</v>
      </c>
      <c r="E810" t="s">
        <v>38</v>
      </c>
      <c r="F810" t="s">
        <v>39</v>
      </c>
      <c r="G810">
        <v>1</v>
      </c>
      <c r="H810" s="4">
        <v>2.79</v>
      </c>
      <c r="I810" t="s">
        <v>19</v>
      </c>
      <c r="J810">
        <v>50</v>
      </c>
      <c r="K810">
        <v>0</v>
      </c>
      <c r="L810">
        <v>4</v>
      </c>
      <c r="M810" s="5">
        <v>3</v>
      </c>
      <c r="N810" s="4">
        <f t="shared" si="12"/>
        <v>2.79</v>
      </c>
      <c r="O810">
        <f>HOUR(TIMEVALUE(RetailTransactions[[#This Row],[Time]]))</f>
        <v>9</v>
      </c>
    </row>
    <row r="811" spans="1:15">
      <c r="A811" t="s">
        <v>1023</v>
      </c>
      <c r="B811" s="3">
        <v>46242</v>
      </c>
      <c r="C811" t="s">
        <v>224</v>
      </c>
      <c r="D811" t="s">
        <v>66</v>
      </c>
      <c r="E811" t="s">
        <v>125</v>
      </c>
      <c r="F811" t="s">
        <v>39</v>
      </c>
      <c r="G811">
        <v>2</v>
      </c>
      <c r="H811" s="4">
        <v>1.85</v>
      </c>
      <c r="I811" t="s">
        <v>19</v>
      </c>
      <c r="J811">
        <v>29</v>
      </c>
      <c r="K811">
        <v>0</v>
      </c>
      <c r="L811">
        <v>6</v>
      </c>
      <c r="M811" s="5">
        <v>4.3</v>
      </c>
      <c r="N811" s="4">
        <f t="shared" si="12"/>
        <v>3.7</v>
      </c>
      <c r="O811">
        <f>HOUR(TIMEVALUE(RetailTransactions[[#This Row],[Time]]))</f>
        <v>19</v>
      </c>
    </row>
    <row r="812" spans="1:15">
      <c r="A812" t="s">
        <v>1024</v>
      </c>
      <c r="B812" s="3">
        <v>46215</v>
      </c>
      <c r="C812" t="s">
        <v>130</v>
      </c>
      <c r="D812" t="s">
        <v>27</v>
      </c>
      <c r="E812" t="s">
        <v>69</v>
      </c>
      <c r="F812" t="s">
        <v>43</v>
      </c>
      <c r="G812">
        <v>1</v>
      </c>
      <c r="H812" s="4">
        <v>1.99</v>
      </c>
      <c r="I812" t="s">
        <v>19</v>
      </c>
      <c r="J812">
        <v>23</v>
      </c>
      <c r="K812">
        <v>1</v>
      </c>
      <c r="L812">
        <v>8</v>
      </c>
      <c r="M812" s="5">
        <v>4.8</v>
      </c>
      <c r="N812" s="4">
        <f t="shared" si="12"/>
        <v>1.99</v>
      </c>
      <c r="O812">
        <f>HOUR(TIMEVALUE(RetailTransactions[[#This Row],[Time]]))</f>
        <v>19</v>
      </c>
    </row>
    <row r="813" spans="1:15">
      <c r="A813" t="s">
        <v>1025</v>
      </c>
      <c r="B813" s="3">
        <v>46189</v>
      </c>
      <c r="C813" t="s">
        <v>189</v>
      </c>
      <c r="D813" t="s">
        <v>22</v>
      </c>
      <c r="E813" t="s">
        <v>57</v>
      </c>
      <c r="F813" t="s">
        <v>43</v>
      </c>
      <c r="G813">
        <v>2</v>
      </c>
      <c r="H813" s="4">
        <v>1.69</v>
      </c>
      <c r="I813" t="s">
        <v>19</v>
      </c>
      <c r="J813">
        <v>46</v>
      </c>
      <c r="K813">
        <v>0</v>
      </c>
      <c r="L813">
        <v>6</v>
      </c>
      <c r="M813" s="5">
        <v>4.9000000000000004</v>
      </c>
      <c r="N813" s="4">
        <f t="shared" si="12"/>
        <v>3.38</v>
      </c>
      <c r="O813">
        <f>HOUR(TIMEVALUE(RetailTransactions[[#This Row],[Time]]))</f>
        <v>17</v>
      </c>
    </row>
    <row r="814" spans="1:15">
      <c r="A814" t="s">
        <v>1026</v>
      </c>
      <c r="B814" s="3">
        <v>46232</v>
      </c>
      <c r="C814" t="s">
        <v>672</v>
      </c>
      <c r="D814" t="s">
        <v>16</v>
      </c>
      <c r="E814" t="s">
        <v>115</v>
      </c>
      <c r="F814" t="s">
        <v>29</v>
      </c>
      <c r="G814">
        <v>2</v>
      </c>
      <c r="H814" s="4">
        <v>3.99</v>
      </c>
      <c r="I814" t="s">
        <v>19</v>
      </c>
      <c r="J814">
        <v>15</v>
      </c>
      <c r="K814">
        <v>0</v>
      </c>
      <c r="L814">
        <v>7</v>
      </c>
      <c r="M814" s="5">
        <v>1.5</v>
      </c>
      <c r="N814" s="4">
        <f t="shared" si="12"/>
        <v>7.98</v>
      </c>
      <c r="O814">
        <f>HOUR(TIMEVALUE(RetailTransactions[[#This Row],[Time]]))</f>
        <v>16</v>
      </c>
    </row>
    <row r="815" spans="1:15">
      <c r="A815" t="s">
        <v>1027</v>
      </c>
      <c r="B815" s="3">
        <v>46213</v>
      </c>
      <c r="C815" t="s">
        <v>215</v>
      </c>
      <c r="D815" t="s">
        <v>72</v>
      </c>
      <c r="E815" t="s">
        <v>60</v>
      </c>
      <c r="F815" t="s">
        <v>29</v>
      </c>
      <c r="G815">
        <v>3</v>
      </c>
      <c r="H815" s="4">
        <v>2.69</v>
      </c>
      <c r="I815" t="s">
        <v>19</v>
      </c>
      <c r="J815">
        <v>4</v>
      </c>
      <c r="K815">
        <v>0</v>
      </c>
      <c r="L815">
        <v>9</v>
      </c>
      <c r="M815" s="5">
        <v>6</v>
      </c>
      <c r="N815" s="4">
        <f t="shared" si="12"/>
        <v>8.07</v>
      </c>
      <c r="O815">
        <f>HOUR(TIMEVALUE(RetailTransactions[[#This Row],[Time]]))</f>
        <v>12</v>
      </c>
    </row>
    <row r="816" spans="1:15">
      <c r="A816" t="s">
        <v>1028</v>
      </c>
      <c r="B816" s="3">
        <v>46219</v>
      </c>
      <c r="C816" t="s">
        <v>91</v>
      </c>
      <c r="D816" t="s">
        <v>37</v>
      </c>
      <c r="E816" t="s">
        <v>69</v>
      </c>
      <c r="F816" t="s">
        <v>43</v>
      </c>
      <c r="G816">
        <v>1</v>
      </c>
      <c r="H816" s="4">
        <v>1.99</v>
      </c>
      <c r="I816" t="s">
        <v>19</v>
      </c>
      <c r="J816">
        <v>41</v>
      </c>
      <c r="K816">
        <v>0</v>
      </c>
      <c r="L816">
        <v>9</v>
      </c>
      <c r="M816" s="5">
        <v>4.5</v>
      </c>
      <c r="N816" s="4">
        <f t="shared" si="12"/>
        <v>1.99</v>
      </c>
      <c r="O816">
        <f>HOUR(TIMEVALUE(RetailTransactions[[#This Row],[Time]]))</f>
        <v>12</v>
      </c>
    </row>
    <row r="817" spans="1:15">
      <c r="A817" t="s">
        <v>1029</v>
      </c>
      <c r="B817" s="3">
        <v>46219</v>
      </c>
      <c r="C817" t="s">
        <v>325</v>
      </c>
      <c r="D817" t="s">
        <v>37</v>
      </c>
      <c r="E817" t="s">
        <v>28</v>
      </c>
      <c r="F817" t="s">
        <v>29</v>
      </c>
      <c r="G817">
        <v>3</v>
      </c>
      <c r="H817" s="4">
        <v>3.29</v>
      </c>
      <c r="I817" t="s">
        <v>19</v>
      </c>
      <c r="J817">
        <v>55</v>
      </c>
      <c r="K817">
        <v>0</v>
      </c>
      <c r="L817">
        <v>6</v>
      </c>
      <c r="M817" s="5">
        <v>1.3</v>
      </c>
      <c r="N817" s="4">
        <f t="shared" si="12"/>
        <v>9.870000000000001</v>
      </c>
      <c r="O817">
        <f>HOUR(TIMEVALUE(RetailTransactions[[#This Row],[Time]]))</f>
        <v>21</v>
      </c>
    </row>
    <row r="818" spans="1:15">
      <c r="A818" t="s">
        <v>1030</v>
      </c>
      <c r="B818" s="3">
        <v>46224</v>
      </c>
      <c r="C818" t="s">
        <v>154</v>
      </c>
      <c r="D818" t="s">
        <v>22</v>
      </c>
      <c r="E818" t="s">
        <v>38</v>
      </c>
      <c r="F818" t="s">
        <v>39</v>
      </c>
      <c r="G818">
        <v>1</v>
      </c>
      <c r="H818" s="4">
        <v>2.37</v>
      </c>
      <c r="I818" t="s">
        <v>30</v>
      </c>
      <c r="J818">
        <v>3</v>
      </c>
      <c r="K818">
        <v>0</v>
      </c>
      <c r="L818">
        <v>5</v>
      </c>
      <c r="M818" s="5">
        <v>3.9</v>
      </c>
      <c r="N818" s="4">
        <f t="shared" si="12"/>
        <v>2.37</v>
      </c>
      <c r="O818">
        <f>HOUR(TIMEVALUE(RetailTransactions[[#This Row],[Time]]))</f>
        <v>16</v>
      </c>
    </row>
    <row r="819" spans="1:15">
      <c r="A819" t="s">
        <v>1031</v>
      </c>
      <c r="B819" s="3">
        <v>46224</v>
      </c>
      <c r="C819" t="s">
        <v>137</v>
      </c>
      <c r="D819" t="s">
        <v>22</v>
      </c>
      <c r="E819" t="s">
        <v>46</v>
      </c>
      <c r="F819" t="s">
        <v>24</v>
      </c>
      <c r="G819">
        <v>3</v>
      </c>
      <c r="H819" s="4">
        <v>1.79</v>
      </c>
      <c r="I819" t="s">
        <v>19</v>
      </c>
      <c r="J819">
        <v>28</v>
      </c>
      <c r="K819">
        <v>2</v>
      </c>
      <c r="L819">
        <v>8</v>
      </c>
      <c r="M819" s="5">
        <v>5</v>
      </c>
      <c r="N819" s="4">
        <f t="shared" si="12"/>
        <v>5.37</v>
      </c>
      <c r="O819">
        <f>HOUR(TIMEVALUE(RetailTransactions[[#This Row],[Time]]))</f>
        <v>13</v>
      </c>
    </row>
    <row r="820" spans="1:15">
      <c r="A820" t="s">
        <v>1032</v>
      </c>
      <c r="B820" s="3">
        <v>46201</v>
      </c>
      <c r="C820" t="s">
        <v>1033</v>
      </c>
      <c r="D820" t="s">
        <v>27</v>
      </c>
      <c r="E820" t="s">
        <v>34</v>
      </c>
      <c r="F820" t="s">
        <v>24</v>
      </c>
      <c r="G820">
        <v>3</v>
      </c>
      <c r="H820" s="4">
        <v>1.27</v>
      </c>
      <c r="I820" t="s">
        <v>30</v>
      </c>
      <c r="J820">
        <v>54</v>
      </c>
      <c r="K820">
        <v>0</v>
      </c>
      <c r="L820">
        <v>6</v>
      </c>
      <c r="M820" s="5">
        <v>2.5</v>
      </c>
      <c r="N820" s="4">
        <f t="shared" si="12"/>
        <v>3.81</v>
      </c>
      <c r="O820">
        <f>HOUR(TIMEVALUE(RetailTransactions[[#This Row],[Time]]))</f>
        <v>7</v>
      </c>
    </row>
    <row r="821" spans="1:15">
      <c r="A821" t="s">
        <v>1034</v>
      </c>
      <c r="B821" s="3">
        <v>46231</v>
      </c>
      <c r="C821" t="s">
        <v>215</v>
      </c>
      <c r="D821" t="s">
        <v>22</v>
      </c>
      <c r="E821" t="s">
        <v>120</v>
      </c>
      <c r="F821" t="s">
        <v>50</v>
      </c>
      <c r="G821">
        <v>1</v>
      </c>
      <c r="H821" s="4">
        <v>2.25</v>
      </c>
      <c r="I821" t="s">
        <v>19</v>
      </c>
      <c r="J821">
        <v>5</v>
      </c>
      <c r="K821">
        <v>0</v>
      </c>
      <c r="L821">
        <v>8</v>
      </c>
      <c r="M821" s="5">
        <v>4.2</v>
      </c>
      <c r="N821" s="4">
        <f t="shared" si="12"/>
        <v>2.25</v>
      </c>
      <c r="O821">
        <f>HOUR(TIMEVALUE(RetailTransactions[[#This Row],[Time]]))</f>
        <v>12</v>
      </c>
    </row>
    <row r="822" spans="1:15">
      <c r="A822" t="s">
        <v>1035</v>
      </c>
      <c r="B822" s="3">
        <v>46259</v>
      </c>
      <c r="C822" t="s">
        <v>865</v>
      </c>
      <c r="D822" t="s">
        <v>22</v>
      </c>
      <c r="E822" t="s">
        <v>23</v>
      </c>
      <c r="F822" t="s">
        <v>24</v>
      </c>
      <c r="G822">
        <v>3</v>
      </c>
      <c r="H822" s="4">
        <v>0.81</v>
      </c>
      <c r="I822" t="s">
        <v>30</v>
      </c>
      <c r="J822">
        <v>41</v>
      </c>
      <c r="K822">
        <v>0</v>
      </c>
      <c r="L822">
        <v>4</v>
      </c>
      <c r="M822" s="5">
        <v>3.7</v>
      </c>
      <c r="N822" s="4">
        <f t="shared" si="12"/>
        <v>2.4300000000000002</v>
      </c>
      <c r="O822">
        <f>HOUR(TIMEVALUE(RetailTransactions[[#This Row],[Time]]))</f>
        <v>7</v>
      </c>
    </row>
    <row r="823" spans="1:15">
      <c r="A823" t="s">
        <v>1036</v>
      </c>
      <c r="B823" s="3">
        <v>46261</v>
      </c>
      <c r="C823" t="s">
        <v>300</v>
      </c>
      <c r="D823" t="s">
        <v>37</v>
      </c>
      <c r="E823" t="s">
        <v>120</v>
      </c>
      <c r="F823" t="s">
        <v>50</v>
      </c>
      <c r="G823">
        <v>1</v>
      </c>
      <c r="H823" s="4">
        <v>2.25</v>
      </c>
      <c r="I823" t="s">
        <v>19</v>
      </c>
      <c r="J823">
        <v>10</v>
      </c>
      <c r="K823">
        <v>0</v>
      </c>
      <c r="L823">
        <v>8</v>
      </c>
      <c r="M823" s="5">
        <v>5.0999999999999996</v>
      </c>
      <c r="N823" s="4">
        <f t="shared" si="12"/>
        <v>2.25</v>
      </c>
      <c r="O823">
        <f>HOUR(TIMEVALUE(RetailTransactions[[#This Row],[Time]]))</f>
        <v>18</v>
      </c>
    </row>
    <row r="824" spans="1:15">
      <c r="A824" t="s">
        <v>1037</v>
      </c>
      <c r="B824" s="3">
        <v>46242</v>
      </c>
      <c r="C824" t="s">
        <v>168</v>
      </c>
      <c r="D824" t="s">
        <v>66</v>
      </c>
      <c r="E824" t="s">
        <v>49</v>
      </c>
      <c r="F824" t="s">
        <v>50</v>
      </c>
      <c r="G824">
        <v>1</v>
      </c>
      <c r="H824" s="4">
        <v>3.36</v>
      </c>
      <c r="I824" t="s">
        <v>30</v>
      </c>
      <c r="J824">
        <v>39</v>
      </c>
      <c r="K824">
        <v>0</v>
      </c>
      <c r="L824">
        <v>6</v>
      </c>
      <c r="M824" s="5">
        <v>3.9</v>
      </c>
      <c r="N824" s="4">
        <f t="shared" si="12"/>
        <v>3.36</v>
      </c>
      <c r="O824">
        <f>HOUR(TIMEVALUE(RetailTransactions[[#This Row],[Time]]))</f>
        <v>13</v>
      </c>
    </row>
    <row r="825" spans="1:15">
      <c r="A825" t="s">
        <v>1038</v>
      </c>
      <c r="B825" s="3">
        <v>46231</v>
      </c>
      <c r="C825" t="s">
        <v>318</v>
      </c>
      <c r="D825" t="s">
        <v>22</v>
      </c>
      <c r="E825" t="s">
        <v>49</v>
      </c>
      <c r="F825" t="s">
        <v>50</v>
      </c>
      <c r="G825">
        <v>1</v>
      </c>
      <c r="H825" s="4">
        <v>3.95</v>
      </c>
      <c r="I825" t="s">
        <v>19</v>
      </c>
      <c r="J825">
        <v>30</v>
      </c>
      <c r="K825">
        <v>0</v>
      </c>
      <c r="L825">
        <v>6</v>
      </c>
      <c r="M825" s="5">
        <v>5.6</v>
      </c>
      <c r="N825" s="4">
        <f t="shared" si="12"/>
        <v>3.95</v>
      </c>
      <c r="O825">
        <f>HOUR(TIMEVALUE(RetailTransactions[[#This Row],[Time]]))</f>
        <v>12</v>
      </c>
    </row>
    <row r="826" spans="1:15">
      <c r="A826" t="s">
        <v>1039</v>
      </c>
      <c r="B826" s="3">
        <v>46255</v>
      </c>
      <c r="C826" t="s">
        <v>247</v>
      </c>
      <c r="D826" t="s">
        <v>72</v>
      </c>
      <c r="E826" t="s">
        <v>17</v>
      </c>
      <c r="F826" t="s">
        <v>18</v>
      </c>
      <c r="G826">
        <v>1</v>
      </c>
      <c r="H826" s="4">
        <v>1.75</v>
      </c>
      <c r="I826" t="s">
        <v>19</v>
      </c>
      <c r="J826">
        <v>30</v>
      </c>
      <c r="K826">
        <v>0</v>
      </c>
      <c r="L826">
        <v>8</v>
      </c>
      <c r="M826" s="5">
        <v>4.4000000000000004</v>
      </c>
      <c r="N826" s="4">
        <f t="shared" si="12"/>
        <v>1.75</v>
      </c>
      <c r="O826">
        <f>HOUR(TIMEVALUE(RetailTransactions[[#This Row],[Time]]))</f>
        <v>17</v>
      </c>
    </row>
    <row r="827" spans="1:15">
      <c r="A827" t="s">
        <v>1040</v>
      </c>
      <c r="B827" s="3">
        <v>46197</v>
      </c>
      <c r="C827" t="s">
        <v>117</v>
      </c>
      <c r="D827" t="s">
        <v>16</v>
      </c>
      <c r="E827" t="s">
        <v>106</v>
      </c>
      <c r="F827" t="s">
        <v>18</v>
      </c>
      <c r="G827">
        <v>1</v>
      </c>
      <c r="H827" s="4">
        <v>1.89</v>
      </c>
      <c r="I827" t="s">
        <v>19</v>
      </c>
      <c r="J827">
        <v>18</v>
      </c>
      <c r="K827">
        <v>0</v>
      </c>
      <c r="L827">
        <v>9</v>
      </c>
      <c r="M827" s="5">
        <v>3.6</v>
      </c>
      <c r="N827" s="4">
        <f t="shared" si="12"/>
        <v>1.89</v>
      </c>
      <c r="O827">
        <f>HOUR(TIMEVALUE(RetailTransactions[[#This Row],[Time]]))</f>
        <v>18</v>
      </c>
    </row>
    <row r="828" spans="1:15">
      <c r="A828" t="s">
        <v>1041</v>
      </c>
      <c r="B828" s="3">
        <v>46200</v>
      </c>
      <c r="C828" t="s">
        <v>763</v>
      </c>
      <c r="D828" t="s">
        <v>66</v>
      </c>
      <c r="E828" t="s">
        <v>115</v>
      </c>
      <c r="F828" t="s">
        <v>29</v>
      </c>
      <c r="G828">
        <v>1</v>
      </c>
      <c r="H828" s="4">
        <v>3.99</v>
      </c>
      <c r="I828" t="s">
        <v>19</v>
      </c>
      <c r="J828">
        <v>16</v>
      </c>
      <c r="K828">
        <v>0</v>
      </c>
      <c r="L828">
        <v>6</v>
      </c>
      <c r="M828" s="5">
        <v>3</v>
      </c>
      <c r="N828" s="4">
        <f t="shared" si="12"/>
        <v>3.99</v>
      </c>
      <c r="O828">
        <f>HOUR(TIMEVALUE(RetailTransactions[[#This Row],[Time]]))</f>
        <v>10</v>
      </c>
    </row>
    <row r="829" spans="1:15">
      <c r="A829" t="s">
        <v>1042</v>
      </c>
      <c r="B829" s="3">
        <v>46227</v>
      </c>
      <c r="C829" t="s">
        <v>269</v>
      </c>
      <c r="D829" t="s">
        <v>72</v>
      </c>
      <c r="E829" t="s">
        <v>42</v>
      </c>
      <c r="F829" t="s">
        <v>43</v>
      </c>
      <c r="G829">
        <v>2</v>
      </c>
      <c r="H829" s="4">
        <v>1.39</v>
      </c>
      <c r="I829" t="s">
        <v>19</v>
      </c>
      <c r="J829">
        <v>50</v>
      </c>
      <c r="K829">
        <v>0</v>
      </c>
      <c r="L829">
        <v>9</v>
      </c>
      <c r="M829" s="5">
        <v>3.4</v>
      </c>
      <c r="N829" s="4">
        <f t="shared" si="12"/>
        <v>2.78</v>
      </c>
      <c r="O829">
        <f>HOUR(TIMEVALUE(RetailTransactions[[#This Row],[Time]]))</f>
        <v>17</v>
      </c>
    </row>
    <row r="830" spans="1:15">
      <c r="A830" t="s">
        <v>1043</v>
      </c>
      <c r="B830" s="3">
        <v>46187</v>
      </c>
      <c r="C830" t="s">
        <v>99</v>
      </c>
      <c r="D830" t="s">
        <v>27</v>
      </c>
      <c r="E830" t="s">
        <v>23</v>
      </c>
      <c r="F830" t="s">
        <v>24</v>
      </c>
      <c r="G830">
        <v>2</v>
      </c>
      <c r="H830" s="4">
        <v>0.95</v>
      </c>
      <c r="I830" t="s">
        <v>19</v>
      </c>
      <c r="J830">
        <v>58</v>
      </c>
      <c r="K830">
        <v>3</v>
      </c>
      <c r="L830">
        <v>5</v>
      </c>
      <c r="M830" s="5">
        <v>3.5</v>
      </c>
      <c r="N830" s="4">
        <f t="shared" si="12"/>
        <v>1.9</v>
      </c>
      <c r="O830">
        <f>HOUR(TIMEVALUE(RetailTransactions[[#This Row],[Time]]))</f>
        <v>16</v>
      </c>
    </row>
    <row r="831" spans="1:15">
      <c r="A831" t="s">
        <v>1044</v>
      </c>
      <c r="B831" s="3">
        <v>46251</v>
      </c>
      <c r="C831" t="s">
        <v>71</v>
      </c>
      <c r="D831" t="s">
        <v>33</v>
      </c>
      <c r="E831" t="s">
        <v>120</v>
      </c>
      <c r="F831" t="s">
        <v>50</v>
      </c>
      <c r="G831">
        <v>1</v>
      </c>
      <c r="H831" s="4">
        <v>2.25</v>
      </c>
      <c r="I831" t="s">
        <v>19</v>
      </c>
      <c r="J831">
        <v>21</v>
      </c>
      <c r="K831">
        <v>0</v>
      </c>
      <c r="L831">
        <v>9</v>
      </c>
      <c r="M831" s="5">
        <v>4.4000000000000004</v>
      </c>
      <c r="N831" s="4">
        <f t="shared" si="12"/>
        <v>2.25</v>
      </c>
      <c r="O831">
        <f>HOUR(TIMEVALUE(RetailTransactions[[#This Row],[Time]]))</f>
        <v>17</v>
      </c>
    </row>
    <row r="832" spans="1:15">
      <c r="A832" t="s">
        <v>1045</v>
      </c>
      <c r="B832" s="3">
        <v>46184</v>
      </c>
      <c r="C832" t="s">
        <v>68</v>
      </c>
      <c r="D832" t="s">
        <v>37</v>
      </c>
      <c r="E832" t="s">
        <v>28</v>
      </c>
      <c r="F832" t="s">
        <v>29</v>
      </c>
      <c r="G832">
        <v>2</v>
      </c>
      <c r="H832" s="4">
        <v>2.8</v>
      </c>
      <c r="I832" t="s">
        <v>30</v>
      </c>
      <c r="J832">
        <v>55</v>
      </c>
      <c r="K832">
        <v>1</v>
      </c>
      <c r="L832">
        <v>4</v>
      </c>
      <c r="M832" s="5">
        <v>2.5</v>
      </c>
      <c r="N832" s="4">
        <f t="shared" si="12"/>
        <v>5.6</v>
      </c>
      <c r="O832">
        <f>HOUR(TIMEVALUE(RetailTransactions[[#This Row],[Time]]))</f>
        <v>16</v>
      </c>
    </row>
    <row r="833" spans="1:15">
      <c r="A833" t="s">
        <v>1046</v>
      </c>
      <c r="B833" s="3">
        <v>46194</v>
      </c>
      <c r="C833" t="s">
        <v>852</v>
      </c>
      <c r="D833" t="s">
        <v>27</v>
      </c>
      <c r="E833" t="s">
        <v>38</v>
      </c>
      <c r="F833" t="s">
        <v>39</v>
      </c>
      <c r="G833">
        <v>1</v>
      </c>
      <c r="H833" s="4">
        <v>2.79</v>
      </c>
      <c r="I833" t="s">
        <v>19</v>
      </c>
      <c r="J833">
        <v>32</v>
      </c>
      <c r="K833">
        <v>0</v>
      </c>
      <c r="L833">
        <v>7</v>
      </c>
      <c r="M833" s="5">
        <v>2.2000000000000002</v>
      </c>
      <c r="N833" s="4">
        <f t="shared" si="12"/>
        <v>2.79</v>
      </c>
      <c r="O833">
        <f>HOUR(TIMEVALUE(RetailTransactions[[#This Row],[Time]]))</f>
        <v>20</v>
      </c>
    </row>
    <row r="834" spans="1:15">
      <c r="A834" t="s">
        <v>1047</v>
      </c>
      <c r="B834" s="3">
        <v>46215</v>
      </c>
      <c r="C834" t="s">
        <v>433</v>
      </c>
      <c r="D834" t="s">
        <v>27</v>
      </c>
      <c r="E834" t="s">
        <v>106</v>
      </c>
      <c r="F834" t="s">
        <v>18</v>
      </c>
      <c r="G834">
        <v>1</v>
      </c>
      <c r="H834" s="4">
        <v>1.89</v>
      </c>
      <c r="I834" t="s">
        <v>19</v>
      </c>
      <c r="J834">
        <v>27</v>
      </c>
      <c r="K834">
        <v>0</v>
      </c>
      <c r="L834">
        <v>5</v>
      </c>
      <c r="M834" s="5">
        <v>3.5</v>
      </c>
      <c r="N834" s="4">
        <f t="shared" ref="N834:N897" si="13">G834*H834</f>
        <v>1.89</v>
      </c>
      <c r="O834">
        <f>HOUR(TIMEVALUE(RetailTransactions[[#This Row],[Time]]))</f>
        <v>20</v>
      </c>
    </row>
    <row r="835" spans="1:15">
      <c r="A835" t="s">
        <v>1048</v>
      </c>
      <c r="B835" s="3">
        <v>46177</v>
      </c>
      <c r="C835" t="s">
        <v>117</v>
      </c>
      <c r="D835" t="s">
        <v>37</v>
      </c>
      <c r="E835" t="s">
        <v>57</v>
      </c>
      <c r="F835" t="s">
        <v>43</v>
      </c>
      <c r="G835">
        <v>1</v>
      </c>
      <c r="H835" s="4">
        <v>1.69</v>
      </c>
      <c r="I835" t="s">
        <v>19</v>
      </c>
      <c r="J835">
        <v>43</v>
      </c>
      <c r="K835">
        <v>0</v>
      </c>
      <c r="L835">
        <v>8</v>
      </c>
      <c r="M835" s="5">
        <v>4.5</v>
      </c>
      <c r="N835" s="4">
        <f t="shared" si="13"/>
        <v>1.69</v>
      </c>
      <c r="O835">
        <f>HOUR(TIMEVALUE(RetailTransactions[[#This Row],[Time]]))</f>
        <v>18</v>
      </c>
    </row>
    <row r="836" spans="1:15">
      <c r="A836" t="s">
        <v>1049</v>
      </c>
      <c r="B836" s="3">
        <v>46244</v>
      </c>
      <c r="C836" t="s">
        <v>168</v>
      </c>
      <c r="D836" t="s">
        <v>33</v>
      </c>
      <c r="E836" t="s">
        <v>63</v>
      </c>
      <c r="F836" t="s">
        <v>50</v>
      </c>
      <c r="G836">
        <v>1</v>
      </c>
      <c r="H836" s="4">
        <v>2.97</v>
      </c>
      <c r="I836" t="s">
        <v>30</v>
      </c>
      <c r="J836">
        <v>14</v>
      </c>
      <c r="K836">
        <v>0</v>
      </c>
      <c r="L836">
        <v>8</v>
      </c>
      <c r="M836" s="5">
        <v>4.5</v>
      </c>
      <c r="N836" s="4">
        <f t="shared" si="13"/>
        <v>2.97</v>
      </c>
      <c r="O836">
        <f>HOUR(TIMEVALUE(RetailTransactions[[#This Row],[Time]]))</f>
        <v>13</v>
      </c>
    </row>
    <row r="837" spans="1:15">
      <c r="A837" t="s">
        <v>1050</v>
      </c>
      <c r="B837" s="3">
        <v>46188</v>
      </c>
      <c r="C837" t="s">
        <v>48</v>
      </c>
      <c r="D837" t="s">
        <v>33</v>
      </c>
      <c r="E837" t="s">
        <v>69</v>
      </c>
      <c r="F837" t="s">
        <v>43</v>
      </c>
      <c r="G837">
        <v>1</v>
      </c>
      <c r="H837" s="4">
        <v>1.99</v>
      </c>
      <c r="I837" t="s">
        <v>19</v>
      </c>
      <c r="J837">
        <v>19</v>
      </c>
      <c r="K837">
        <v>0</v>
      </c>
      <c r="L837">
        <v>6</v>
      </c>
      <c r="M837" s="5">
        <v>3.4</v>
      </c>
      <c r="N837" s="4">
        <f t="shared" si="13"/>
        <v>1.99</v>
      </c>
      <c r="O837">
        <f>HOUR(TIMEVALUE(RetailTransactions[[#This Row],[Time]]))</f>
        <v>17</v>
      </c>
    </row>
    <row r="838" spans="1:15">
      <c r="A838" t="s">
        <v>1051</v>
      </c>
      <c r="B838" s="3">
        <v>46223</v>
      </c>
      <c r="C838" t="s">
        <v>382</v>
      </c>
      <c r="D838" t="s">
        <v>33</v>
      </c>
      <c r="E838" t="s">
        <v>42</v>
      </c>
      <c r="F838" t="s">
        <v>43</v>
      </c>
      <c r="G838">
        <v>3</v>
      </c>
      <c r="H838" s="4">
        <v>1.39</v>
      </c>
      <c r="I838" t="s">
        <v>19</v>
      </c>
      <c r="J838">
        <v>32</v>
      </c>
      <c r="K838">
        <v>0</v>
      </c>
      <c r="L838">
        <v>9</v>
      </c>
      <c r="M838" s="5">
        <v>5</v>
      </c>
      <c r="N838" s="4">
        <f t="shared" si="13"/>
        <v>4.17</v>
      </c>
      <c r="O838">
        <f>HOUR(TIMEVALUE(RetailTransactions[[#This Row],[Time]]))</f>
        <v>13</v>
      </c>
    </row>
    <row r="839" spans="1:15">
      <c r="A839" t="s">
        <v>1052</v>
      </c>
      <c r="B839" s="3">
        <v>46177</v>
      </c>
      <c r="C839" t="s">
        <v>672</v>
      </c>
      <c r="D839" t="s">
        <v>37</v>
      </c>
      <c r="E839" t="s">
        <v>115</v>
      </c>
      <c r="F839" t="s">
        <v>29</v>
      </c>
      <c r="G839">
        <v>3</v>
      </c>
      <c r="H839" s="4">
        <v>3.99</v>
      </c>
      <c r="I839" t="s">
        <v>19</v>
      </c>
      <c r="J839">
        <v>4</v>
      </c>
      <c r="K839">
        <v>0</v>
      </c>
      <c r="L839">
        <v>5</v>
      </c>
      <c r="M839" s="5">
        <v>3.4</v>
      </c>
      <c r="N839" s="4">
        <f t="shared" si="13"/>
        <v>11.97</v>
      </c>
      <c r="O839">
        <f>HOUR(TIMEVALUE(RetailTransactions[[#This Row],[Time]]))</f>
        <v>16</v>
      </c>
    </row>
    <row r="840" spans="1:15">
      <c r="A840" t="s">
        <v>1053</v>
      </c>
      <c r="B840" s="3">
        <v>46213</v>
      </c>
      <c r="C840" t="s">
        <v>101</v>
      </c>
      <c r="D840" t="s">
        <v>72</v>
      </c>
      <c r="E840" t="s">
        <v>28</v>
      </c>
      <c r="F840" t="s">
        <v>29</v>
      </c>
      <c r="G840">
        <v>3</v>
      </c>
      <c r="H840" s="4">
        <v>3.29</v>
      </c>
      <c r="I840" t="s">
        <v>19</v>
      </c>
      <c r="J840">
        <v>37</v>
      </c>
      <c r="K840">
        <v>0</v>
      </c>
      <c r="L840">
        <v>5</v>
      </c>
      <c r="M840" s="5">
        <v>3</v>
      </c>
      <c r="N840" s="4">
        <f t="shared" si="13"/>
        <v>9.870000000000001</v>
      </c>
      <c r="O840">
        <f>HOUR(TIMEVALUE(RetailTransactions[[#This Row],[Time]]))</f>
        <v>14</v>
      </c>
    </row>
    <row r="841" spans="1:15">
      <c r="A841" t="s">
        <v>1054</v>
      </c>
      <c r="B841" s="3">
        <v>46252</v>
      </c>
      <c r="C841" t="s">
        <v>627</v>
      </c>
      <c r="D841" t="s">
        <v>22</v>
      </c>
      <c r="E841" t="s">
        <v>17</v>
      </c>
      <c r="F841" t="s">
        <v>18</v>
      </c>
      <c r="G841">
        <v>1</v>
      </c>
      <c r="H841" s="4">
        <v>1.75</v>
      </c>
      <c r="I841" t="s">
        <v>19</v>
      </c>
      <c r="J841">
        <v>17</v>
      </c>
      <c r="K841">
        <v>0</v>
      </c>
      <c r="L841">
        <v>5</v>
      </c>
      <c r="M841" s="5">
        <v>4.2</v>
      </c>
      <c r="N841" s="4">
        <f t="shared" si="13"/>
        <v>1.75</v>
      </c>
      <c r="O841">
        <f>HOUR(TIMEVALUE(RetailTransactions[[#This Row],[Time]]))</f>
        <v>15</v>
      </c>
    </row>
    <row r="842" spans="1:15">
      <c r="A842" t="s">
        <v>1055</v>
      </c>
      <c r="B842" s="3">
        <v>46213</v>
      </c>
      <c r="C842" t="s">
        <v>204</v>
      </c>
      <c r="D842" t="s">
        <v>72</v>
      </c>
      <c r="E842" t="s">
        <v>46</v>
      </c>
      <c r="F842" t="s">
        <v>24</v>
      </c>
      <c r="G842">
        <v>1</v>
      </c>
      <c r="H842" s="4">
        <v>1.52</v>
      </c>
      <c r="I842" t="s">
        <v>30</v>
      </c>
      <c r="J842">
        <v>29</v>
      </c>
      <c r="K842">
        <v>0</v>
      </c>
      <c r="L842">
        <v>4</v>
      </c>
      <c r="M842" s="5">
        <v>3.6</v>
      </c>
      <c r="N842" s="4">
        <f t="shared" si="13"/>
        <v>1.52</v>
      </c>
      <c r="O842">
        <f>HOUR(TIMEVALUE(RetailTransactions[[#This Row],[Time]]))</f>
        <v>14</v>
      </c>
    </row>
    <row r="843" spans="1:15">
      <c r="A843" t="s">
        <v>1056</v>
      </c>
      <c r="B843" s="3">
        <v>46200</v>
      </c>
      <c r="C843" t="s">
        <v>318</v>
      </c>
      <c r="D843" t="s">
        <v>66</v>
      </c>
      <c r="E843" t="s">
        <v>42</v>
      </c>
      <c r="F843" t="s">
        <v>43</v>
      </c>
      <c r="G843">
        <v>2</v>
      </c>
      <c r="H843" s="4">
        <v>1.39</v>
      </c>
      <c r="I843" t="s">
        <v>19</v>
      </c>
      <c r="J843">
        <v>39</v>
      </c>
      <c r="K843">
        <v>1</v>
      </c>
      <c r="L843">
        <v>7</v>
      </c>
      <c r="M843" s="5">
        <v>4.2</v>
      </c>
      <c r="N843" s="4">
        <f t="shared" si="13"/>
        <v>2.78</v>
      </c>
      <c r="O843">
        <f>HOUR(TIMEVALUE(RetailTransactions[[#This Row],[Time]]))</f>
        <v>12</v>
      </c>
    </row>
    <row r="844" spans="1:15">
      <c r="A844" t="s">
        <v>1057</v>
      </c>
      <c r="B844" s="3">
        <v>46195</v>
      </c>
      <c r="C844" t="s">
        <v>144</v>
      </c>
      <c r="D844" t="s">
        <v>33</v>
      </c>
      <c r="E844" t="s">
        <v>34</v>
      </c>
      <c r="F844" t="s">
        <v>24</v>
      </c>
      <c r="G844">
        <v>2</v>
      </c>
      <c r="H844" s="4">
        <v>1.49</v>
      </c>
      <c r="I844" t="s">
        <v>19</v>
      </c>
      <c r="J844">
        <v>10</v>
      </c>
      <c r="K844">
        <v>0</v>
      </c>
      <c r="L844">
        <v>8</v>
      </c>
      <c r="M844" s="5">
        <v>4.7</v>
      </c>
      <c r="N844" s="4">
        <f t="shared" si="13"/>
        <v>2.98</v>
      </c>
      <c r="O844">
        <f>HOUR(TIMEVALUE(RetailTransactions[[#This Row],[Time]]))</f>
        <v>17</v>
      </c>
    </row>
    <row r="845" spans="1:15">
      <c r="A845" t="s">
        <v>1058</v>
      </c>
      <c r="B845" s="3">
        <v>46233</v>
      </c>
      <c r="C845" t="s">
        <v>144</v>
      </c>
      <c r="D845" t="s">
        <v>37</v>
      </c>
      <c r="E845" t="s">
        <v>46</v>
      </c>
      <c r="F845" t="s">
        <v>24</v>
      </c>
      <c r="G845">
        <v>3</v>
      </c>
      <c r="H845" s="4">
        <v>1.79</v>
      </c>
      <c r="I845" t="s">
        <v>19</v>
      </c>
      <c r="J845">
        <v>19</v>
      </c>
      <c r="K845">
        <v>0</v>
      </c>
      <c r="L845">
        <v>8</v>
      </c>
      <c r="M845" s="5">
        <v>6.2</v>
      </c>
      <c r="N845" s="4">
        <f t="shared" si="13"/>
        <v>5.37</v>
      </c>
      <c r="O845">
        <f>HOUR(TIMEVALUE(RetailTransactions[[#This Row],[Time]]))</f>
        <v>17</v>
      </c>
    </row>
    <row r="846" spans="1:15">
      <c r="A846" t="s">
        <v>1059</v>
      </c>
      <c r="B846" s="3">
        <v>46192</v>
      </c>
      <c r="C846" t="s">
        <v>672</v>
      </c>
      <c r="D846" t="s">
        <v>72</v>
      </c>
      <c r="E846" t="s">
        <v>125</v>
      </c>
      <c r="F846" t="s">
        <v>39</v>
      </c>
      <c r="G846">
        <v>1</v>
      </c>
      <c r="H846" s="4">
        <v>1.85</v>
      </c>
      <c r="I846" t="s">
        <v>19</v>
      </c>
      <c r="J846">
        <v>52</v>
      </c>
      <c r="K846">
        <v>0</v>
      </c>
      <c r="L846">
        <v>7</v>
      </c>
      <c r="M846" s="5">
        <v>1.2</v>
      </c>
      <c r="N846" s="4">
        <f t="shared" si="13"/>
        <v>1.85</v>
      </c>
      <c r="O846">
        <f>HOUR(TIMEVALUE(RetailTransactions[[#This Row],[Time]]))</f>
        <v>16</v>
      </c>
    </row>
    <row r="847" spans="1:15">
      <c r="A847" t="s">
        <v>1060</v>
      </c>
      <c r="B847" s="3">
        <v>46182</v>
      </c>
      <c r="C847" t="s">
        <v>89</v>
      </c>
      <c r="D847" t="s">
        <v>22</v>
      </c>
      <c r="E847" t="s">
        <v>17</v>
      </c>
      <c r="F847" t="s">
        <v>18</v>
      </c>
      <c r="G847">
        <v>1</v>
      </c>
      <c r="H847" s="4">
        <v>1.49</v>
      </c>
      <c r="I847" t="s">
        <v>30</v>
      </c>
      <c r="J847">
        <v>44</v>
      </c>
      <c r="K847">
        <v>0</v>
      </c>
      <c r="L847">
        <v>7</v>
      </c>
      <c r="M847" s="5">
        <v>1</v>
      </c>
      <c r="N847" s="4">
        <f t="shared" si="13"/>
        <v>1.49</v>
      </c>
      <c r="O847">
        <f>HOUR(TIMEVALUE(RetailTransactions[[#This Row],[Time]]))</f>
        <v>14</v>
      </c>
    </row>
    <row r="848" spans="1:15">
      <c r="A848" t="s">
        <v>1061</v>
      </c>
      <c r="B848" s="3">
        <v>46226</v>
      </c>
      <c r="C848" t="s">
        <v>87</v>
      </c>
      <c r="D848" t="s">
        <v>37</v>
      </c>
      <c r="E848" t="s">
        <v>17</v>
      </c>
      <c r="F848" t="s">
        <v>18</v>
      </c>
      <c r="G848">
        <v>2</v>
      </c>
      <c r="H848" s="4">
        <v>1.49</v>
      </c>
      <c r="I848" t="s">
        <v>30</v>
      </c>
      <c r="J848">
        <v>53</v>
      </c>
      <c r="K848">
        <v>0</v>
      </c>
      <c r="L848">
        <v>8</v>
      </c>
      <c r="M848" s="5">
        <v>4.3</v>
      </c>
      <c r="N848" s="4">
        <f t="shared" si="13"/>
        <v>2.98</v>
      </c>
      <c r="O848">
        <f>HOUR(TIMEVALUE(RetailTransactions[[#This Row],[Time]]))</f>
        <v>19</v>
      </c>
    </row>
    <row r="849" spans="1:15">
      <c r="A849" t="s">
        <v>1062</v>
      </c>
      <c r="B849" s="3">
        <v>46183</v>
      </c>
      <c r="C849" t="s">
        <v>195</v>
      </c>
      <c r="D849" t="s">
        <v>16</v>
      </c>
      <c r="E849" t="s">
        <v>63</v>
      </c>
      <c r="F849" t="s">
        <v>50</v>
      </c>
      <c r="G849">
        <v>2</v>
      </c>
      <c r="H849" s="4">
        <v>2.97</v>
      </c>
      <c r="I849" t="s">
        <v>30</v>
      </c>
      <c r="J849">
        <v>29</v>
      </c>
      <c r="K849">
        <v>0</v>
      </c>
      <c r="L849">
        <v>5</v>
      </c>
      <c r="M849" s="5">
        <v>3.6</v>
      </c>
      <c r="N849" s="4">
        <f t="shared" si="13"/>
        <v>5.94</v>
      </c>
      <c r="O849">
        <f>HOUR(TIMEVALUE(RetailTransactions[[#This Row],[Time]]))</f>
        <v>15</v>
      </c>
    </row>
    <row r="850" spans="1:15">
      <c r="A850" t="s">
        <v>1063</v>
      </c>
      <c r="B850" s="3">
        <v>46225</v>
      </c>
      <c r="C850" t="s">
        <v>292</v>
      </c>
      <c r="D850" t="s">
        <v>16</v>
      </c>
      <c r="E850" t="s">
        <v>46</v>
      </c>
      <c r="F850" t="s">
        <v>24</v>
      </c>
      <c r="G850">
        <v>1</v>
      </c>
      <c r="H850" s="4">
        <v>1.79</v>
      </c>
      <c r="I850" t="s">
        <v>19</v>
      </c>
      <c r="J850">
        <v>17</v>
      </c>
      <c r="K850">
        <v>0</v>
      </c>
      <c r="L850">
        <v>4</v>
      </c>
      <c r="M850" s="5">
        <v>4.9000000000000004</v>
      </c>
      <c r="N850" s="4">
        <f t="shared" si="13"/>
        <v>1.79</v>
      </c>
      <c r="O850">
        <f>HOUR(TIMEVALUE(RetailTransactions[[#This Row],[Time]]))</f>
        <v>9</v>
      </c>
    </row>
    <row r="851" spans="1:15">
      <c r="A851" t="s">
        <v>1064</v>
      </c>
      <c r="B851" s="3">
        <v>46208</v>
      </c>
      <c r="C851" t="s">
        <v>460</v>
      </c>
      <c r="D851" t="s">
        <v>27</v>
      </c>
      <c r="E851" t="s">
        <v>78</v>
      </c>
      <c r="F851" t="s">
        <v>39</v>
      </c>
      <c r="G851">
        <v>2</v>
      </c>
      <c r="H851" s="4">
        <v>1.55</v>
      </c>
      <c r="I851" t="s">
        <v>19</v>
      </c>
      <c r="J851">
        <v>18</v>
      </c>
      <c r="K851">
        <v>0</v>
      </c>
      <c r="L851">
        <v>9</v>
      </c>
      <c r="M851" s="5">
        <v>5.4</v>
      </c>
      <c r="N851" s="4">
        <f t="shared" si="13"/>
        <v>3.1</v>
      </c>
      <c r="O851">
        <f>HOUR(TIMEVALUE(RetailTransactions[[#This Row],[Time]]))</f>
        <v>18</v>
      </c>
    </row>
    <row r="852" spans="1:15">
      <c r="A852" t="s">
        <v>1065</v>
      </c>
      <c r="B852" s="3">
        <v>46235</v>
      </c>
      <c r="C852" t="s">
        <v>170</v>
      </c>
      <c r="D852" t="s">
        <v>66</v>
      </c>
      <c r="E852" t="s">
        <v>60</v>
      </c>
      <c r="F852" t="s">
        <v>29</v>
      </c>
      <c r="G852">
        <v>2</v>
      </c>
      <c r="H852" s="4">
        <v>2.29</v>
      </c>
      <c r="I852" t="s">
        <v>30</v>
      </c>
      <c r="J852">
        <v>24</v>
      </c>
      <c r="K852">
        <v>0</v>
      </c>
      <c r="L852">
        <v>6</v>
      </c>
      <c r="M852" s="5">
        <v>4.5</v>
      </c>
      <c r="N852" s="4">
        <f t="shared" si="13"/>
        <v>4.58</v>
      </c>
      <c r="O852">
        <f>HOUR(TIMEVALUE(RetailTransactions[[#This Row],[Time]]))</f>
        <v>13</v>
      </c>
    </row>
    <row r="853" spans="1:15">
      <c r="A853" t="s">
        <v>1066</v>
      </c>
      <c r="B853" s="3">
        <v>46220</v>
      </c>
      <c r="C853" t="s">
        <v>618</v>
      </c>
      <c r="D853" t="s">
        <v>72</v>
      </c>
      <c r="E853" t="s">
        <v>115</v>
      </c>
      <c r="F853" t="s">
        <v>29</v>
      </c>
      <c r="G853">
        <v>1</v>
      </c>
      <c r="H853" s="4">
        <v>3.99</v>
      </c>
      <c r="I853" t="s">
        <v>19</v>
      </c>
      <c r="J853">
        <v>24</v>
      </c>
      <c r="K853">
        <v>1</v>
      </c>
      <c r="L853">
        <v>6</v>
      </c>
      <c r="M853" s="5">
        <v>1.8</v>
      </c>
      <c r="N853" s="4">
        <f t="shared" si="13"/>
        <v>3.99</v>
      </c>
      <c r="O853">
        <f>HOUR(TIMEVALUE(RetailTransactions[[#This Row],[Time]]))</f>
        <v>8</v>
      </c>
    </row>
    <row r="854" spans="1:15">
      <c r="A854" t="s">
        <v>1067</v>
      </c>
      <c r="B854" s="3">
        <v>46206</v>
      </c>
      <c r="C854" t="s">
        <v>355</v>
      </c>
      <c r="D854" t="s">
        <v>72</v>
      </c>
      <c r="E854" t="s">
        <v>28</v>
      </c>
      <c r="F854" t="s">
        <v>29</v>
      </c>
      <c r="G854">
        <v>2</v>
      </c>
      <c r="H854" s="4">
        <v>3.29</v>
      </c>
      <c r="I854" t="s">
        <v>19</v>
      </c>
      <c r="J854">
        <v>53</v>
      </c>
      <c r="K854">
        <v>0</v>
      </c>
      <c r="L854">
        <v>6</v>
      </c>
      <c r="M854" s="5">
        <v>6.6</v>
      </c>
      <c r="N854" s="4">
        <f t="shared" si="13"/>
        <v>6.58</v>
      </c>
      <c r="O854">
        <f>HOUR(TIMEVALUE(RetailTransactions[[#This Row],[Time]]))</f>
        <v>19</v>
      </c>
    </row>
    <row r="855" spans="1:15">
      <c r="A855" t="s">
        <v>1068</v>
      </c>
      <c r="B855" s="3">
        <v>46186</v>
      </c>
      <c r="C855" t="s">
        <v>132</v>
      </c>
      <c r="D855" t="s">
        <v>66</v>
      </c>
      <c r="E855" t="s">
        <v>46</v>
      </c>
      <c r="F855" t="s">
        <v>24</v>
      </c>
      <c r="G855">
        <v>1</v>
      </c>
      <c r="H855" s="4">
        <v>1.79</v>
      </c>
      <c r="I855" t="s">
        <v>19</v>
      </c>
      <c r="J855">
        <v>52</v>
      </c>
      <c r="K855">
        <v>0</v>
      </c>
      <c r="L855">
        <v>6</v>
      </c>
      <c r="M855" s="5">
        <v>3.8</v>
      </c>
      <c r="N855" s="4">
        <f t="shared" si="13"/>
        <v>1.79</v>
      </c>
      <c r="O855">
        <f>HOUR(TIMEVALUE(RetailTransactions[[#This Row],[Time]]))</f>
        <v>19</v>
      </c>
    </row>
    <row r="856" spans="1:15">
      <c r="A856" t="s">
        <v>1069</v>
      </c>
      <c r="B856" s="3">
        <v>46216</v>
      </c>
      <c r="C856" t="s">
        <v>152</v>
      </c>
      <c r="D856" t="s">
        <v>33</v>
      </c>
      <c r="E856" t="s">
        <v>49</v>
      </c>
      <c r="F856" t="s">
        <v>50</v>
      </c>
      <c r="G856">
        <v>2</v>
      </c>
      <c r="H856" s="4">
        <v>3.36</v>
      </c>
      <c r="I856" t="s">
        <v>30</v>
      </c>
      <c r="J856">
        <v>29</v>
      </c>
      <c r="K856">
        <v>0</v>
      </c>
      <c r="L856">
        <v>7</v>
      </c>
      <c r="M856" s="5">
        <v>2.6</v>
      </c>
      <c r="N856" s="4">
        <f t="shared" si="13"/>
        <v>6.72</v>
      </c>
      <c r="O856">
        <f>HOUR(TIMEVALUE(RetailTransactions[[#This Row],[Time]]))</f>
        <v>8</v>
      </c>
    </row>
    <row r="857" spans="1:15">
      <c r="A857" t="s">
        <v>1070</v>
      </c>
      <c r="B857" s="3">
        <v>46238</v>
      </c>
      <c r="C857" t="s">
        <v>458</v>
      </c>
      <c r="D857" t="s">
        <v>22</v>
      </c>
      <c r="E857" t="s">
        <v>60</v>
      </c>
      <c r="F857" t="s">
        <v>29</v>
      </c>
      <c r="G857">
        <v>1</v>
      </c>
      <c r="H857" s="4">
        <v>2.69</v>
      </c>
      <c r="I857" t="s">
        <v>19</v>
      </c>
      <c r="J857">
        <v>14</v>
      </c>
      <c r="K857">
        <v>0</v>
      </c>
      <c r="L857">
        <v>7</v>
      </c>
      <c r="M857" s="5">
        <v>5.7</v>
      </c>
      <c r="N857" s="4">
        <f t="shared" si="13"/>
        <v>2.69</v>
      </c>
      <c r="O857">
        <f>HOUR(TIMEVALUE(RetailTransactions[[#This Row],[Time]]))</f>
        <v>13</v>
      </c>
    </row>
    <row r="858" spans="1:15">
      <c r="A858" t="s">
        <v>1071</v>
      </c>
      <c r="B858" s="3">
        <v>46221</v>
      </c>
      <c r="C858" t="s">
        <v>45</v>
      </c>
      <c r="D858" t="s">
        <v>66</v>
      </c>
      <c r="E858" t="s">
        <v>106</v>
      </c>
      <c r="F858" t="s">
        <v>18</v>
      </c>
      <c r="G858">
        <v>4</v>
      </c>
      <c r="H858" s="4">
        <v>1.89</v>
      </c>
      <c r="I858" t="s">
        <v>19</v>
      </c>
      <c r="J858">
        <v>57</v>
      </c>
      <c r="K858">
        <v>0</v>
      </c>
      <c r="L858">
        <v>6</v>
      </c>
      <c r="M858" s="5">
        <v>4.3</v>
      </c>
      <c r="N858" s="4">
        <f t="shared" si="13"/>
        <v>7.56</v>
      </c>
      <c r="O858">
        <f>HOUR(TIMEVALUE(RetailTransactions[[#This Row],[Time]]))</f>
        <v>13</v>
      </c>
    </row>
    <row r="859" spans="1:15">
      <c r="A859" t="s">
        <v>1072</v>
      </c>
      <c r="B859" s="3">
        <v>46262</v>
      </c>
      <c r="C859" t="s">
        <v>186</v>
      </c>
      <c r="D859" t="s">
        <v>72</v>
      </c>
      <c r="E859" t="s">
        <v>85</v>
      </c>
      <c r="F859" t="s">
        <v>18</v>
      </c>
      <c r="G859">
        <v>1</v>
      </c>
      <c r="H859" s="4">
        <v>2.4900000000000002</v>
      </c>
      <c r="I859" t="s">
        <v>19</v>
      </c>
      <c r="J859">
        <v>23</v>
      </c>
      <c r="K859">
        <v>0</v>
      </c>
      <c r="L859">
        <v>6</v>
      </c>
      <c r="M859" s="5">
        <v>5</v>
      </c>
      <c r="N859" s="4">
        <f t="shared" si="13"/>
        <v>2.4900000000000002</v>
      </c>
      <c r="O859">
        <f>HOUR(TIMEVALUE(RetailTransactions[[#This Row],[Time]]))</f>
        <v>18</v>
      </c>
    </row>
    <row r="860" spans="1:15">
      <c r="A860" t="s">
        <v>1073</v>
      </c>
      <c r="B860" s="3">
        <v>46261</v>
      </c>
      <c r="C860" t="s">
        <v>15</v>
      </c>
      <c r="D860" t="s">
        <v>37</v>
      </c>
      <c r="E860" t="s">
        <v>42</v>
      </c>
      <c r="F860" t="s">
        <v>43</v>
      </c>
      <c r="G860">
        <v>1</v>
      </c>
      <c r="H860" s="4">
        <v>1.39</v>
      </c>
      <c r="I860" t="s">
        <v>19</v>
      </c>
      <c r="J860">
        <v>11</v>
      </c>
      <c r="K860">
        <v>0</v>
      </c>
      <c r="L860">
        <v>7</v>
      </c>
      <c r="M860" s="5">
        <v>3</v>
      </c>
      <c r="N860" s="4">
        <f t="shared" si="13"/>
        <v>1.39</v>
      </c>
      <c r="O860">
        <f>HOUR(TIMEVALUE(RetailTransactions[[#This Row],[Time]]))</f>
        <v>16</v>
      </c>
    </row>
    <row r="861" spans="1:15">
      <c r="A861" t="s">
        <v>1074</v>
      </c>
      <c r="B861" s="3">
        <v>46188</v>
      </c>
      <c r="C861" t="s">
        <v>519</v>
      </c>
      <c r="D861" t="s">
        <v>33</v>
      </c>
      <c r="E861" t="s">
        <v>63</v>
      </c>
      <c r="F861" t="s">
        <v>50</v>
      </c>
      <c r="G861">
        <v>3</v>
      </c>
      <c r="H861" s="4">
        <v>3.49</v>
      </c>
      <c r="I861" t="s">
        <v>19</v>
      </c>
      <c r="J861">
        <v>56</v>
      </c>
      <c r="K861">
        <v>0</v>
      </c>
      <c r="L861">
        <v>8</v>
      </c>
      <c r="M861" s="5">
        <v>3.1</v>
      </c>
      <c r="N861" s="4">
        <f t="shared" si="13"/>
        <v>10.47</v>
      </c>
      <c r="O861">
        <f>HOUR(TIMEVALUE(RetailTransactions[[#This Row],[Time]]))</f>
        <v>13</v>
      </c>
    </row>
    <row r="862" spans="1:15">
      <c r="A862" t="s">
        <v>1075</v>
      </c>
      <c r="B862" s="3">
        <v>46188</v>
      </c>
      <c r="C862" t="s">
        <v>1076</v>
      </c>
      <c r="D862" t="s">
        <v>33</v>
      </c>
      <c r="E862" t="s">
        <v>17</v>
      </c>
      <c r="F862" t="s">
        <v>18</v>
      </c>
      <c r="G862">
        <v>1</v>
      </c>
      <c r="H862" s="4">
        <v>1.75</v>
      </c>
      <c r="I862" t="s">
        <v>19</v>
      </c>
      <c r="J862">
        <v>55</v>
      </c>
      <c r="K862">
        <v>0</v>
      </c>
      <c r="L862">
        <v>6</v>
      </c>
      <c r="M862" s="5">
        <v>2.2000000000000002</v>
      </c>
      <c r="N862" s="4">
        <f t="shared" si="13"/>
        <v>1.75</v>
      </c>
      <c r="O862">
        <f>HOUR(TIMEVALUE(RetailTransactions[[#This Row],[Time]]))</f>
        <v>9</v>
      </c>
    </row>
    <row r="863" spans="1:15">
      <c r="A863" t="s">
        <v>1077</v>
      </c>
      <c r="B863" s="3">
        <v>46185</v>
      </c>
      <c r="C863" t="s">
        <v>347</v>
      </c>
      <c r="D863" t="s">
        <v>72</v>
      </c>
      <c r="E863" t="s">
        <v>57</v>
      </c>
      <c r="F863" t="s">
        <v>43</v>
      </c>
      <c r="G863">
        <v>2</v>
      </c>
      <c r="H863" s="4">
        <v>1.69</v>
      </c>
      <c r="I863" t="s">
        <v>19</v>
      </c>
      <c r="J863">
        <v>16</v>
      </c>
      <c r="K863">
        <v>0</v>
      </c>
      <c r="L863">
        <v>7</v>
      </c>
      <c r="M863" s="5">
        <v>3.8</v>
      </c>
      <c r="N863" s="4">
        <f t="shared" si="13"/>
        <v>3.38</v>
      </c>
      <c r="O863">
        <f>HOUR(TIMEVALUE(RetailTransactions[[#This Row],[Time]]))</f>
        <v>12</v>
      </c>
    </row>
    <row r="864" spans="1:15">
      <c r="A864" t="s">
        <v>1078</v>
      </c>
      <c r="B864" s="3">
        <v>46188</v>
      </c>
      <c r="C864" t="s">
        <v>170</v>
      </c>
      <c r="D864" t="s">
        <v>33</v>
      </c>
      <c r="E864" t="s">
        <v>63</v>
      </c>
      <c r="F864" t="s">
        <v>50</v>
      </c>
      <c r="G864">
        <v>1</v>
      </c>
      <c r="H864" s="4">
        <v>3.49</v>
      </c>
      <c r="I864" t="s">
        <v>19</v>
      </c>
      <c r="J864">
        <v>27</v>
      </c>
      <c r="K864">
        <v>0</v>
      </c>
      <c r="L864">
        <v>7</v>
      </c>
      <c r="M864" s="5">
        <v>4.5999999999999996</v>
      </c>
      <c r="N864" s="4">
        <f t="shared" si="13"/>
        <v>3.49</v>
      </c>
      <c r="O864">
        <f>HOUR(TIMEVALUE(RetailTransactions[[#This Row],[Time]]))</f>
        <v>13</v>
      </c>
    </row>
    <row r="865" spans="1:15">
      <c r="A865" t="s">
        <v>1079</v>
      </c>
      <c r="B865" s="3">
        <v>46253</v>
      </c>
      <c r="C865" t="s">
        <v>275</v>
      </c>
      <c r="D865" t="s">
        <v>16</v>
      </c>
      <c r="E865" t="s">
        <v>17</v>
      </c>
      <c r="F865" t="s">
        <v>18</v>
      </c>
      <c r="G865">
        <v>3</v>
      </c>
      <c r="H865" s="4">
        <v>1.49</v>
      </c>
      <c r="I865" t="s">
        <v>30</v>
      </c>
      <c r="J865">
        <v>19</v>
      </c>
      <c r="K865">
        <v>0</v>
      </c>
      <c r="L865">
        <v>4</v>
      </c>
      <c r="M865" s="5">
        <v>4</v>
      </c>
      <c r="N865" s="4">
        <f t="shared" si="13"/>
        <v>4.47</v>
      </c>
      <c r="O865">
        <f>HOUR(TIMEVALUE(RetailTransactions[[#This Row],[Time]]))</f>
        <v>14</v>
      </c>
    </row>
    <row r="866" spans="1:15">
      <c r="A866" t="s">
        <v>1080</v>
      </c>
      <c r="B866" s="3">
        <v>46239</v>
      </c>
      <c r="C866" t="s">
        <v>244</v>
      </c>
      <c r="D866" t="s">
        <v>16</v>
      </c>
      <c r="E866" t="s">
        <v>106</v>
      </c>
      <c r="F866" t="s">
        <v>18</v>
      </c>
      <c r="G866">
        <v>1</v>
      </c>
      <c r="H866" s="4">
        <v>1.89</v>
      </c>
      <c r="I866" t="s">
        <v>19</v>
      </c>
      <c r="J866">
        <v>53</v>
      </c>
      <c r="K866">
        <v>0</v>
      </c>
      <c r="L866">
        <v>6</v>
      </c>
      <c r="M866" s="5">
        <v>1</v>
      </c>
      <c r="N866" s="4">
        <f t="shared" si="13"/>
        <v>1.89</v>
      </c>
      <c r="O866">
        <f>HOUR(TIMEVALUE(RetailTransactions[[#This Row],[Time]]))</f>
        <v>14</v>
      </c>
    </row>
    <row r="867" spans="1:15">
      <c r="A867" t="s">
        <v>1081</v>
      </c>
      <c r="B867" s="3">
        <v>46260</v>
      </c>
      <c r="C867" t="s">
        <v>204</v>
      </c>
      <c r="D867" t="s">
        <v>16</v>
      </c>
      <c r="E867" t="s">
        <v>78</v>
      </c>
      <c r="F867" t="s">
        <v>39</v>
      </c>
      <c r="G867">
        <v>2</v>
      </c>
      <c r="H867" s="4">
        <v>1.55</v>
      </c>
      <c r="I867" t="s">
        <v>19</v>
      </c>
      <c r="J867">
        <v>21</v>
      </c>
      <c r="K867">
        <v>0</v>
      </c>
      <c r="L867">
        <v>7</v>
      </c>
      <c r="M867" s="5">
        <v>2.2999999999999998</v>
      </c>
      <c r="N867" s="4">
        <f t="shared" si="13"/>
        <v>3.1</v>
      </c>
      <c r="O867">
        <f>HOUR(TIMEVALUE(RetailTransactions[[#This Row],[Time]]))</f>
        <v>14</v>
      </c>
    </row>
    <row r="868" spans="1:15">
      <c r="A868" t="s">
        <v>1082</v>
      </c>
      <c r="B868" s="3">
        <v>46179</v>
      </c>
      <c r="C868" t="s">
        <v>318</v>
      </c>
      <c r="D868" t="s">
        <v>66</v>
      </c>
      <c r="E868" t="s">
        <v>85</v>
      </c>
      <c r="F868" t="s">
        <v>18</v>
      </c>
      <c r="G868">
        <v>3</v>
      </c>
      <c r="H868" s="4">
        <v>2.4900000000000002</v>
      </c>
      <c r="I868" t="s">
        <v>19</v>
      </c>
      <c r="J868">
        <v>28</v>
      </c>
      <c r="K868">
        <v>0</v>
      </c>
      <c r="L868">
        <v>9</v>
      </c>
      <c r="M868" s="5">
        <v>4.5</v>
      </c>
      <c r="N868" s="4">
        <f t="shared" si="13"/>
        <v>7.4700000000000006</v>
      </c>
      <c r="O868">
        <f>HOUR(TIMEVALUE(RetailTransactions[[#This Row],[Time]]))</f>
        <v>12</v>
      </c>
    </row>
    <row r="869" spans="1:15">
      <c r="A869" t="s">
        <v>1083</v>
      </c>
      <c r="B869" s="3">
        <v>46264</v>
      </c>
      <c r="C869" t="s">
        <v>93</v>
      </c>
      <c r="D869" t="s">
        <v>27</v>
      </c>
      <c r="E869" t="s">
        <v>115</v>
      </c>
      <c r="F869" t="s">
        <v>29</v>
      </c>
      <c r="G869">
        <v>1</v>
      </c>
      <c r="H869" s="4">
        <v>3.99</v>
      </c>
      <c r="I869" t="s">
        <v>19</v>
      </c>
      <c r="J869">
        <v>55</v>
      </c>
      <c r="K869">
        <v>0</v>
      </c>
      <c r="L869">
        <v>8</v>
      </c>
      <c r="M869" s="5">
        <v>3.6</v>
      </c>
      <c r="N869" s="4">
        <f t="shared" si="13"/>
        <v>3.99</v>
      </c>
      <c r="O869">
        <f>HOUR(TIMEVALUE(RetailTransactions[[#This Row],[Time]]))</f>
        <v>12</v>
      </c>
    </row>
    <row r="870" spans="1:15">
      <c r="A870" t="s">
        <v>1084</v>
      </c>
      <c r="B870" s="3">
        <v>46262</v>
      </c>
      <c r="C870" t="s">
        <v>258</v>
      </c>
      <c r="D870" t="s">
        <v>72</v>
      </c>
      <c r="E870" t="s">
        <v>115</v>
      </c>
      <c r="F870" t="s">
        <v>29</v>
      </c>
      <c r="G870">
        <v>3</v>
      </c>
      <c r="H870" s="4">
        <v>3.39</v>
      </c>
      <c r="I870" t="s">
        <v>30</v>
      </c>
      <c r="J870">
        <v>16</v>
      </c>
      <c r="K870">
        <v>0</v>
      </c>
      <c r="L870">
        <v>6</v>
      </c>
      <c r="M870" s="5">
        <v>1.6</v>
      </c>
      <c r="N870" s="4">
        <f t="shared" si="13"/>
        <v>10.17</v>
      </c>
      <c r="O870">
        <f>HOUR(TIMEVALUE(RetailTransactions[[#This Row],[Time]]))</f>
        <v>16</v>
      </c>
    </row>
    <row r="871" spans="1:15">
      <c r="A871" t="s">
        <v>1085</v>
      </c>
      <c r="B871" s="3">
        <v>46236</v>
      </c>
      <c r="C871" t="s">
        <v>211</v>
      </c>
      <c r="D871" t="s">
        <v>27</v>
      </c>
      <c r="E871" t="s">
        <v>63</v>
      </c>
      <c r="F871" t="s">
        <v>50</v>
      </c>
      <c r="G871">
        <v>1</v>
      </c>
      <c r="H871" s="4">
        <v>3.49</v>
      </c>
      <c r="I871" t="s">
        <v>19</v>
      </c>
      <c r="J871">
        <v>34</v>
      </c>
      <c r="K871">
        <v>0</v>
      </c>
      <c r="L871">
        <v>5</v>
      </c>
      <c r="M871" s="5">
        <v>4.3</v>
      </c>
      <c r="N871" s="4">
        <f t="shared" si="13"/>
        <v>3.49</v>
      </c>
      <c r="O871">
        <f>HOUR(TIMEVALUE(RetailTransactions[[#This Row],[Time]]))</f>
        <v>14</v>
      </c>
    </row>
    <row r="872" spans="1:15">
      <c r="A872" t="s">
        <v>1086</v>
      </c>
      <c r="B872" s="3">
        <v>46235</v>
      </c>
      <c r="C872" t="s">
        <v>130</v>
      </c>
      <c r="D872" t="s">
        <v>66</v>
      </c>
      <c r="E872" t="s">
        <v>63</v>
      </c>
      <c r="F872" t="s">
        <v>50</v>
      </c>
      <c r="G872">
        <v>1</v>
      </c>
      <c r="H872" s="4">
        <v>3.49</v>
      </c>
      <c r="I872" t="s">
        <v>19</v>
      </c>
      <c r="J872">
        <v>16</v>
      </c>
      <c r="K872">
        <v>0</v>
      </c>
      <c r="L872">
        <v>6</v>
      </c>
      <c r="M872" s="5">
        <v>3.4</v>
      </c>
      <c r="N872" s="4">
        <f t="shared" si="13"/>
        <v>3.49</v>
      </c>
      <c r="O872">
        <f>HOUR(TIMEVALUE(RetailTransactions[[#This Row],[Time]]))</f>
        <v>19</v>
      </c>
    </row>
    <row r="873" spans="1:15">
      <c r="A873" t="s">
        <v>1087</v>
      </c>
      <c r="B873" s="3">
        <v>46190</v>
      </c>
      <c r="C873" t="s">
        <v>460</v>
      </c>
      <c r="D873" t="s">
        <v>16</v>
      </c>
      <c r="E873" t="s">
        <v>120</v>
      </c>
      <c r="F873" t="s">
        <v>50</v>
      </c>
      <c r="G873">
        <v>2</v>
      </c>
      <c r="H873" s="4">
        <v>2.25</v>
      </c>
      <c r="I873" t="s">
        <v>19</v>
      </c>
      <c r="J873">
        <v>45</v>
      </c>
      <c r="K873">
        <v>0</v>
      </c>
      <c r="L873">
        <v>7</v>
      </c>
      <c r="M873" s="5">
        <v>5.9</v>
      </c>
      <c r="N873" s="4">
        <f t="shared" si="13"/>
        <v>4.5</v>
      </c>
      <c r="O873">
        <f>HOUR(TIMEVALUE(RetailTransactions[[#This Row],[Time]]))</f>
        <v>18</v>
      </c>
    </row>
    <row r="874" spans="1:15">
      <c r="A874" t="s">
        <v>1088</v>
      </c>
      <c r="B874" s="3">
        <v>46244</v>
      </c>
      <c r="C874" t="s">
        <v>132</v>
      </c>
      <c r="D874" t="s">
        <v>33</v>
      </c>
      <c r="E874" t="s">
        <v>42</v>
      </c>
      <c r="F874" t="s">
        <v>43</v>
      </c>
      <c r="G874">
        <v>1</v>
      </c>
      <c r="H874" s="4">
        <v>1.39</v>
      </c>
      <c r="I874" t="s">
        <v>19</v>
      </c>
      <c r="J874">
        <v>16</v>
      </c>
      <c r="K874">
        <v>0</v>
      </c>
      <c r="L874">
        <v>8</v>
      </c>
      <c r="M874" s="5">
        <v>3.4</v>
      </c>
      <c r="N874" s="4">
        <f t="shared" si="13"/>
        <v>1.39</v>
      </c>
      <c r="O874">
        <f>HOUR(TIMEVALUE(RetailTransactions[[#This Row],[Time]]))</f>
        <v>19</v>
      </c>
    </row>
    <row r="875" spans="1:15">
      <c r="A875" t="s">
        <v>1089</v>
      </c>
      <c r="B875" s="3">
        <v>46250</v>
      </c>
      <c r="C875" t="s">
        <v>156</v>
      </c>
      <c r="D875" t="s">
        <v>27</v>
      </c>
      <c r="E875" t="s">
        <v>17</v>
      </c>
      <c r="F875" t="s">
        <v>18</v>
      </c>
      <c r="G875">
        <v>2</v>
      </c>
      <c r="H875" s="4">
        <v>1.75</v>
      </c>
      <c r="I875" t="s">
        <v>19</v>
      </c>
      <c r="J875">
        <v>36</v>
      </c>
      <c r="K875">
        <v>0</v>
      </c>
      <c r="L875">
        <v>6</v>
      </c>
      <c r="M875" s="5">
        <v>1.7</v>
      </c>
      <c r="N875" s="4">
        <f t="shared" si="13"/>
        <v>3.5</v>
      </c>
      <c r="O875">
        <f>HOUR(TIMEVALUE(RetailTransactions[[#This Row],[Time]]))</f>
        <v>16</v>
      </c>
    </row>
    <row r="876" spans="1:15">
      <c r="A876" t="s">
        <v>1090</v>
      </c>
      <c r="B876" s="3">
        <v>46216</v>
      </c>
      <c r="C876" t="s">
        <v>124</v>
      </c>
      <c r="D876" t="s">
        <v>33</v>
      </c>
      <c r="E876" t="s">
        <v>78</v>
      </c>
      <c r="F876" t="s">
        <v>39</v>
      </c>
      <c r="G876">
        <v>3</v>
      </c>
      <c r="H876" s="4">
        <v>1.32</v>
      </c>
      <c r="I876" t="s">
        <v>30</v>
      </c>
      <c r="J876">
        <v>27</v>
      </c>
      <c r="K876">
        <v>0</v>
      </c>
      <c r="L876">
        <v>6</v>
      </c>
      <c r="M876" s="5">
        <v>5.4</v>
      </c>
      <c r="N876" s="4">
        <f t="shared" si="13"/>
        <v>3.96</v>
      </c>
      <c r="O876">
        <f>HOUR(TIMEVALUE(RetailTransactions[[#This Row],[Time]]))</f>
        <v>18</v>
      </c>
    </row>
    <row r="877" spans="1:15">
      <c r="A877" t="s">
        <v>1091</v>
      </c>
      <c r="B877" s="3">
        <v>46187</v>
      </c>
      <c r="C877" t="s">
        <v>345</v>
      </c>
      <c r="D877" t="s">
        <v>27</v>
      </c>
      <c r="E877" t="s">
        <v>28</v>
      </c>
      <c r="F877" t="s">
        <v>29</v>
      </c>
      <c r="G877">
        <v>2</v>
      </c>
      <c r="H877" s="4">
        <v>3.29</v>
      </c>
      <c r="I877" t="s">
        <v>19</v>
      </c>
      <c r="J877">
        <v>26</v>
      </c>
      <c r="K877">
        <v>0</v>
      </c>
      <c r="L877">
        <v>6</v>
      </c>
      <c r="M877" s="5">
        <v>5.3</v>
      </c>
      <c r="N877" s="4">
        <f t="shared" si="13"/>
        <v>6.58</v>
      </c>
      <c r="O877">
        <f>HOUR(TIMEVALUE(RetailTransactions[[#This Row],[Time]]))</f>
        <v>18</v>
      </c>
    </row>
    <row r="878" spans="1:15">
      <c r="A878" t="s">
        <v>1092</v>
      </c>
      <c r="B878" s="3">
        <v>46239</v>
      </c>
      <c r="C878" t="s">
        <v>1093</v>
      </c>
      <c r="D878" t="s">
        <v>16</v>
      </c>
      <c r="E878" t="s">
        <v>120</v>
      </c>
      <c r="F878" t="s">
        <v>50</v>
      </c>
      <c r="G878">
        <v>1</v>
      </c>
      <c r="H878" s="4">
        <v>2.25</v>
      </c>
      <c r="I878" t="s">
        <v>19</v>
      </c>
      <c r="J878">
        <v>57</v>
      </c>
      <c r="K878">
        <v>0</v>
      </c>
      <c r="L878">
        <v>4</v>
      </c>
      <c r="M878" s="5">
        <v>4.5999999999999996</v>
      </c>
      <c r="N878" s="4">
        <f t="shared" si="13"/>
        <v>2.25</v>
      </c>
      <c r="O878">
        <f>HOUR(TIMEVALUE(RetailTransactions[[#This Row],[Time]]))</f>
        <v>7</v>
      </c>
    </row>
    <row r="879" spans="1:15">
      <c r="A879" t="s">
        <v>1094</v>
      </c>
      <c r="B879" s="3">
        <v>46176</v>
      </c>
      <c r="C879" t="s">
        <v>144</v>
      </c>
      <c r="D879" t="s">
        <v>16</v>
      </c>
      <c r="E879" t="s">
        <v>49</v>
      </c>
      <c r="F879" t="s">
        <v>50</v>
      </c>
      <c r="G879">
        <v>4</v>
      </c>
      <c r="H879" s="4">
        <v>3.36</v>
      </c>
      <c r="I879" t="s">
        <v>30</v>
      </c>
      <c r="J879">
        <v>16</v>
      </c>
      <c r="K879">
        <v>0</v>
      </c>
      <c r="L879">
        <v>6</v>
      </c>
      <c r="M879" s="5">
        <v>3</v>
      </c>
      <c r="N879" s="4">
        <f t="shared" si="13"/>
        <v>13.44</v>
      </c>
      <c r="O879">
        <f>HOUR(TIMEVALUE(RetailTransactions[[#This Row],[Time]]))</f>
        <v>17</v>
      </c>
    </row>
    <row r="880" spans="1:15">
      <c r="A880" t="s">
        <v>1095</v>
      </c>
      <c r="B880" s="3">
        <v>46264</v>
      </c>
      <c r="C880" t="s">
        <v>71</v>
      </c>
      <c r="D880" t="s">
        <v>27</v>
      </c>
      <c r="E880" t="s">
        <v>78</v>
      </c>
      <c r="F880" t="s">
        <v>39</v>
      </c>
      <c r="G880">
        <v>2</v>
      </c>
      <c r="H880" s="4">
        <v>1.55</v>
      </c>
      <c r="I880" t="s">
        <v>19</v>
      </c>
      <c r="J880">
        <v>47</v>
      </c>
      <c r="K880">
        <v>0</v>
      </c>
      <c r="L880">
        <v>9</v>
      </c>
      <c r="M880" s="5">
        <v>6</v>
      </c>
      <c r="N880" s="4">
        <f t="shared" si="13"/>
        <v>3.1</v>
      </c>
      <c r="O880">
        <f>HOUR(TIMEVALUE(RetailTransactions[[#This Row],[Time]]))</f>
        <v>17</v>
      </c>
    </row>
    <row r="881" spans="1:15">
      <c r="A881" t="s">
        <v>1096</v>
      </c>
      <c r="B881" s="3">
        <v>46246</v>
      </c>
      <c r="C881" t="s">
        <v>56</v>
      </c>
      <c r="D881" t="s">
        <v>16</v>
      </c>
      <c r="E881" t="s">
        <v>57</v>
      </c>
      <c r="F881" t="s">
        <v>43</v>
      </c>
      <c r="G881">
        <v>2</v>
      </c>
      <c r="H881" s="4">
        <v>1.69</v>
      </c>
      <c r="I881" t="s">
        <v>19</v>
      </c>
      <c r="J881">
        <v>17</v>
      </c>
      <c r="K881">
        <v>1</v>
      </c>
      <c r="L881">
        <v>9</v>
      </c>
      <c r="M881" s="5">
        <v>4.5999999999999996</v>
      </c>
      <c r="N881" s="4">
        <f t="shared" si="13"/>
        <v>3.38</v>
      </c>
      <c r="O881">
        <f>HOUR(TIMEVALUE(RetailTransactions[[#This Row],[Time]]))</f>
        <v>17</v>
      </c>
    </row>
    <row r="882" spans="1:15">
      <c r="A882" t="s">
        <v>1097</v>
      </c>
      <c r="B882" s="3">
        <v>46224</v>
      </c>
      <c r="C882" t="s">
        <v>21</v>
      </c>
      <c r="D882" t="s">
        <v>22</v>
      </c>
      <c r="E882" t="s">
        <v>49</v>
      </c>
      <c r="F882" t="s">
        <v>50</v>
      </c>
      <c r="G882">
        <v>2</v>
      </c>
      <c r="H882" s="4">
        <v>3.95</v>
      </c>
      <c r="I882" t="s">
        <v>19</v>
      </c>
      <c r="J882">
        <v>24</v>
      </c>
      <c r="K882">
        <v>1</v>
      </c>
      <c r="L882">
        <v>5</v>
      </c>
      <c r="M882" s="5">
        <v>4.5999999999999996</v>
      </c>
      <c r="N882" s="4">
        <f t="shared" si="13"/>
        <v>7.9</v>
      </c>
      <c r="O882">
        <f>HOUR(TIMEVALUE(RetailTransactions[[#This Row],[Time]]))</f>
        <v>16</v>
      </c>
    </row>
    <row r="883" spans="1:15">
      <c r="A883" t="s">
        <v>1098</v>
      </c>
      <c r="B883" s="3">
        <v>46209</v>
      </c>
      <c r="C883" t="s">
        <v>314</v>
      </c>
      <c r="D883" t="s">
        <v>33</v>
      </c>
      <c r="E883" t="s">
        <v>115</v>
      </c>
      <c r="F883" t="s">
        <v>29</v>
      </c>
      <c r="G883">
        <v>1</v>
      </c>
      <c r="H883" s="4">
        <v>3.99</v>
      </c>
      <c r="I883" t="s">
        <v>19</v>
      </c>
      <c r="J883">
        <v>18</v>
      </c>
      <c r="K883">
        <v>0</v>
      </c>
      <c r="L883">
        <v>6</v>
      </c>
      <c r="M883" s="5">
        <v>1.5</v>
      </c>
      <c r="N883" s="4">
        <f t="shared" si="13"/>
        <v>3.99</v>
      </c>
      <c r="O883">
        <f>HOUR(TIMEVALUE(RetailTransactions[[#This Row],[Time]]))</f>
        <v>14</v>
      </c>
    </row>
    <row r="884" spans="1:15">
      <c r="A884" t="s">
        <v>1099</v>
      </c>
      <c r="B884" s="3">
        <v>46185</v>
      </c>
      <c r="C884" t="s">
        <v>272</v>
      </c>
      <c r="D884" t="s">
        <v>72</v>
      </c>
      <c r="E884" t="s">
        <v>106</v>
      </c>
      <c r="F884" t="s">
        <v>18</v>
      </c>
      <c r="G884">
        <v>2</v>
      </c>
      <c r="H884" s="4">
        <v>1.61</v>
      </c>
      <c r="I884" t="s">
        <v>30</v>
      </c>
      <c r="J884">
        <v>10</v>
      </c>
      <c r="K884">
        <v>0</v>
      </c>
      <c r="L884">
        <v>6</v>
      </c>
      <c r="M884" s="5">
        <v>6.1</v>
      </c>
      <c r="N884" s="4">
        <f t="shared" si="13"/>
        <v>3.22</v>
      </c>
      <c r="O884">
        <f>HOUR(TIMEVALUE(RetailTransactions[[#This Row],[Time]]))</f>
        <v>18</v>
      </c>
    </row>
    <row r="885" spans="1:15">
      <c r="A885" t="s">
        <v>1100</v>
      </c>
      <c r="B885" s="3">
        <v>46237</v>
      </c>
      <c r="C885" t="s">
        <v>241</v>
      </c>
      <c r="D885" t="s">
        <v>33</v>
      </c>
      <c r="E885" t="s">
        <v>23</v>
      </c>
      <c r="F885" t="s">
        <v>24</v>
      </c>
      <c r="G885">
        <v>1</v>
      </c>
      <c r="H885" s="4">
        <v>0.95</v>
      </c>
      <c r="I885" t="s">
        <v>19</v>
      </c>
      <c r="J885">
        <v>47</v>
      </c>
      <c r="K885">
        <v>2</v>
      </c>
      <c r="L885">
        <v>4</v>
      </c>
      <c r="M885" s="5">
        <v>3.4</v>
      </c>
      <c r="N885" s="4">
        <f t="shared" si="13"/>
        <v>0.95</v>
      </c>
      <c r="O885">
        <f>HOUR(TIMEVALUE(RetailTransactions[[#This Row],[Time]]))</f>
        <v>9</v>
      </c>
    </row>
    <row r="886" spans="1:15">
      <c r="A886" t="s">
        <v>1101</v>
      </c>
      <c r="B886" s="3">
        <v>46205</v>
      </c>
      <c r="C886" t="s">
        <v>170</v>
      </c>
      <c r="D886" t="s">
        <v>37</v>
      </c>
      <c r="E886" t="s">
        <v>46</v>
      </c>
      <c r="F886" t="s">
        <v>24</v>
      </c>
      <c r="G886">
        <v>1</v>
      </c>
      <c r="H886" s="4">
        <v>1.79</v>
      </c>
      <c r="I886" t="s">
        <v>19</v>
      </c>
      <c r="J886">
        <v>16</v>
      </c>
      <c r="K886">
        <v>3</v>
      </c>
      <c r="L886">
        <v>8</v>
      </c>
      <c r="M886" s="5">
        <v>5.7</v>
      </c>
      <c r="N886" s="4">
        <f t="shared" si="13"/>
        <v>1.79</v>
      </c>
      <c r="O886">
        <f>HOUR(TIMEVALUE(RetailTransactions[[#This Row],[Time]]))</f>
        <v>13</v>
      </c>
    </row>
    <row r="887" spans="1:15">
      <c r="A887" t="s">
        <v>1102</v>
      </c>
      <c r="B887" s="3">
        <v>46215</v>
      </c>
      <c r="C887" t="s">
        <v>124</v>
      </c>
      <c r="D887" t="s">
        <v>27</v>
      </c>
      <c r="E887" t="s">
        <v>42</v>
      </c>
      <c r="F887" t="s">
        <v>43</v>
      </c>
      <c r="G887">
        <v>1</v>
      </c>
      <c r="H887" s="4">
        <v>1.39</v>
      </c>
      <c r="I887" t="s">
        <v>19</v>
      </c>
      <c r="J887">
        <v>57</v>
      </c>
      <c r="K887">
        <v>0</v>
      </c>
      <c r="L887">
        <v>7</v>
      </c>
      <c r="M887" s="5">
        <v>3.7</v>
      </c>
      <c r="N887" s="4">
        <f t="shared" si="13"/>
        <v>1.39</v>
      </c>
      <c r="O887">
        <f>HOUR(TIMEVALUE(RetailTransactions[[#This Row],[Time]]))</f>
        <v>18</v>
      </c>
    </row>
    <row r="888" spans="1:15">
      <c r="A888" t="s">
        <v>1103</v>
      </c>
      <c r="B888" s="3">
        <v>46258</v>
      </c>
      <c r="C888" t="s">
        <v>244</v>
      </c>
      <c r="D888" t="s">
        <v>33</v>
      </c>
      <c r="E888" t="s">
        <v>23</v>
      </c>
      <c r="F888" t="s">
        <v>24</v>
      </c>
      <c r="G888">
        <v>1</v>
      </c>
      <c r="H888" s="4">
        <v>0.95</v>
      </c>
      <c r="I888" t="s">
        <v>19</v>
      </c>
      <c r="J888">
        <v>10</v>
      </c>
      <c r="K888">
        <v>0</v>
      </c>
      <c r="L888">
        <v>4</v>
      </c>
      <c r="M888" s="5">
        <v>4.2</v>
      </c>
      <c r="N888" s="4">
        <f t="shared" si="13"/>
        <v>0.95</v>
      </c>
      <c r="O888">
        <f>HOUR(TIMEVALUE(RetailTransactions[[#This Row],[Time]]))</f>
        <v>14</v>
      </c>
    </row>
    <row r="889" spans="1:15">
      <c r="A889" t="s">
        <v>1104</v>
      </c>
      <c r="B889" s="3">
        <v>46249</v>
      </c>
      <c r="C889" t="s">
        <v>365</v>
      </c>
      <c r="D889" t="s">
        <v>66</v>
      </c>
      <c r="E889" t="s">
        <v>125</v>
      </c>
      <c r="F889" t="s">
        <v>39</v>
      </c>
      <c r="G889">
        <v>1</v>
      </c>
      <c r="H889" s="4">
        <v>1.85</v>
      </c>
      <c r="I889" t="s">
        <v>19</v>
      </c>
      <c r="J889">
        <v>57</v>
      </c>
      <c r="K889">
        <v>0</v>
      </c>
      <c r="L889">
        <v>7</v>
      </c>
      <c r="M889" s="5">
        <v>5.2</v>
      </c>
      <c r="N889" s="4">
        <f t="shared" si="13"/>
        <v>1.85</v>
      </c>
      <c r="O889">
        <f>HOUR(TIMEVALUE(RetailTransactions[[#This Row],[Time]]))</f>
        <v>19</v>
      </c>
    </row>
    <row r="890" spans="1:15">
      <c r="A890" t="s">
        <v>1105</v>
      </c>
      <c r="B890" s="3">
        <v>46240</v>
      </c>
      <c r="C890" t="s">
        <v>763</v>
      </c>
      <c r="D890" t="s">
        <v>37</v>
      </c>
      <c r="E890" t="s">
        <v>38</v>
      </c>
      <c r="F890" t="s">
        <v>39</v>
      </c>
      <c r="G890">
        <v>1</v>
      </c>
      <c r="H890" s="4">
        <v>2.79</v>
      </c>
      <c r="I890" t="s">
        <v>19</v>
      </c>
      <c r="J890">
        <v>3</v>
      </c>
      <c r="K890">
        <v>0</v>
      </c>
      <c r="L890">
        <v>7</v>
      </c>
      <c r="M890" s="5">
        <v>1.5</v>
      </c>
      <c r="N890" s="4">
        <f t="shared" si="13"/>
        <v>2.79</v>
      </c>
      <c r="O890">
        <f>HOUR(TIMEVALUE(RetailTransactions[[#This Row],[Time]]))</f>
        <v>10</v>
      </c>
    </row>
    <row r="891" spans="1:15">
      <c r="A891" t="s">
        <v>1106</v>
      </c>
      <c r="B891" s="3">
        <v>46230</v>
      </c>
      <c r="C891" t="s">
        <v>93</v>
      </c>
      <c r="D891" t="s">
        <v>33</v>
      </c>
      <c r="E891" t="s">
        <v>63</v>
      </c>
      <c r="F891" t="s">
        <v>50</v>
      </c>
      <c r="G891">
        <v>2</v>
      </c>
      <c r="H891" s="4">
        <v>3.49</v>
      </c>
      <c r="I891" t="s">
        <v>19</v>
      </c>
      <c r="J891">
        <v>8</v>
      </c>
      <c r="K891">
        <v>0</v>
      </c>
      <c r="L891">
        <v>7</v>
      </c>
      <c r="M891" s="5">
        <v>2.8</v>
      </c>
      <c r="N891" s="4">
        <f t="shared" si="13"/>
        <v>6.98</v>
      </c>
      <c r="O891">
        <f>HOUR(TIMEVALUE(RetailTransactions[[#This Row],[Time]]))</f>
        <v>12</v>
      </c>
    </row>
    <row r="892" spans="1:15">
      <c r="A892" t="s">
        <v>1107</v>
      </c>
      <c r="B892" s="3">
        <v>46204</v>
      </c>
      <c r="C892" t="s">
        <v>401</v>
      </c>
      <c r="D892" t="s">
        <v>16</v>
      </c>
      <c r="E892" t="s">
        <v>46</v>
      </c>
      <c r="F892" t="s">
        <v>24</v>
      </c>
      <c r="G892">
        <v>1</v>
      </c>
      <c r="H892" s="4">
        <v>1.52</v>
      </c>
      <c r="I892" t="s">
        <v>30</v>
      </c>
      <c r="J892">
        <v>5</v>
      </c>
      <c r="K892">
        <v>1</v>
      </c>
      <c r="L892">
        <v>6</v>
      </c>
      <c r="M892" s="5">
        <v>2.7</v>
      </c>
      <c r="N892" s="4">
        <f t="shared" si="13"/>
        <v>1.52</v>
      </c>
      <c r="O892">
        <f>HOUR(TIMEVALUE(RetailTransactions[[#This Row],[Time]]))</f>
        <v>8</v>
      </c>
    </row>
    <row r="893" spans="1:15">
      <c r="A893" t="s">
        <v>1108</v>
      </c>
      <c r="B893" s="3">
        <v>46206</v>
      </c>
      <c r="C893" t="s">
        <v>59</v>
      </c>
      <c r="D893" t="s">
        <v>72</v>
      </c>
      <c r="E893" t="s">
        <v>23</v>
      </c>
      <c r="F893" t="s">
        <v>24</v>
      </c>
      <c r="G893">
        <v>1</v>
      </c>
      <c r="H893" s="4">
        <v>0.95</v>
      </c>
      <c r="I893" t="s">
        <v>19</v>
      </c>
      <c r="J893">
        <v>20</v>
      </c>
      <c r="K893">
        <v>0</v>
      </c>
      <c r="L893">
        <v>6</v>
      </c>
      <c r="M893" s="5">
        <v>4.7</v>
      </c>
      <c r="N893" s="4">
        <f t="shared" si="13"/>
        <v>0.95</v>
      </c>
      <c r="O893">
        <f>HOUR(TIMEVALUE(RetailTransactions[[#This Row],[Time]]))</f>
        <v>12</v>
      </c>
    </row>
    <row r="894" spans="1:15">
      <c r="A894" t="s">
        <v>1109</v>
      </c>
      <c r="B894" s="3">
        <v>46211</v>
      </c>
      <c r="C894" t="s">
        <v>458</v>
      </c>
      <c r="D894" t="s">
        <v>16</v>
      </c>
      <c r="E894" t="s">
        <v>78</v>
      </c>
      <c r="F894" t="s">
        <v>39</v>
      </c>
      <c r="G894">
        <v>3</v>
      </c>
      <c r="H894" s="4">
        <v>1.32</v>
      </c>
      <c r="I894" t="s">
        <v>30</v>
      </c>
      <c r="J894">
        <v>58</v>
      </c>
      <c r="K894">
        <v>0</v>
      </c>
      <c r="L894">
        <v>6</v>
      </c>
      <c r="M894" s="5">
        <v>4.9000000000000004</v>
      </c>
      <c r="N894" s="4">
        <f t="shared" si="13"/>
        <v>3.96</v>
      </c>
      <c r="O894">
        <f>HOUR(TIMEVALUE(RetailTransactions[[#This Row],[Time]]))</f>
        <v>13</v>
      </c>
    </row>
    <row r="895" spans="1:15">
      <c r="A895" t="s">
        <v>1110</v>
      </c>
      <c r="B895" s="3">
        <v>46220</v>
      </c>
      <c r="C895" t="s">
        <v>89</v>
      </c>
      <c r="D895" t="s">
        <v>72</v>
      </c>
      <c r="E895" t="s">
        <v>60</v>
      </c>
      <c r="F895" t="s">
        <v>29</v>
      </c>
      <c r="G895">
        <v>2</v>
      </c>
      <c r="H895" s="4">
        <v>2.69</v>
      </c>
      <c r="I895" t="s">
        <v>19</v>
      </c>
      <c r="J895">
        <v>54</v>
      </c>
      <c r="K895">
        <v>0</v>
      </c>
      <c r="L895">
        <v>6</v>
      </c>
      <c r="M895" s="5">
        <v>1.8</v>
      </c>
      <c r="N895" s="4">
        <f t="shared" si="13"/>
        <v>5.38</v>
      </c>
      <c r="O895">
        <f>HOUR(TIMEVALUE(RetailTransactions[[#This Row],[Time]]))</f>
        <v>14</v>
      </c>
    </row>
    <row r="896" spans="1:15">
      <c r="A896" t="s">
        <v>1111</v>
      </c>
      <c r="B896" s="3">
        <v>46243</v>
      </c>
      <c r="C896" t="s">
        <v>672</v>
      </c>
      <c r="D896" t="s">
        <v>27</v>
      </c>
      <c r="E896" t="s">
        <v>85</v>
      </c>
      <c r="F896" t="s">
        <v>18</v>
      </c>
      <c r="G896">
        <v>1</v>
      </c>
      <c r="H896" s="4">
        <v>2.4900000000000002</v>
      </c>
      <c r="I896" t="s">
        <v>19</v>
      </c>
      <c r="J896">
        <v>3</v>
      </c>
      <c r="K896">
        <v>1</v>
      </c>
      <c r="L896">
        <v>6</v>
      </c>
      <c r="M896" s="5">
        <v>2.2999999999999998</v>
      </c>
      <c r="N896" s="4">
        <f t="shared" si="13"/>
        <v>2.4900000000000002</v>
      </c>
      <c r="O896">
        <f>HOUR(TIMEVALUE(RetailTransactions[[#This Row],[Time]]))</f>
        <v>16</v>
      </c>
    </row>
    <row r="897" spans="1:15">
      <c r="A897" t="s">
        <v>1112</v>
      </c>
      <c r="B897" s="3">
        <v>46240</v>
      </c>
      <c r="C897" t="s">
        <v>204</v>
      </c>
      <c r="D897" t="s">
        <v>37</v>
      </c>
      <c r="E897" t="s">
        <v>49</v>
      </c>
      <c r="F897" t="s">
        <v>50</v>
      </c>
      <c r="G897">
        <v>2</v>
      </c>
      <c r="H897" s="4">
        <v>3.95</v>
      </c>
      <c r="I897" t="s">
        <v>19</v>
      </c>
      <c r="J897">
        <v>52</v>
      </c>
      <c r="K897">
        <v>0</v>
      </c>
      <c r="L897">
        <v>7</v>
      </c>
      <c r="M897" s="5">
        <v>2.1</v>
      </c>
      <c r="N897" s="4">
        <f t="shared" si="13"/>
        <v>7.9</v>
      </c>
      <c r="O897">
        <f>HOUR(TIMEVALUE(RetailTransactions[[#This Row],[Time]]))</f>
        <v>14</v>
      </c>
    </row>
    <row r="898" spans="1:15">
      <c r="A898" t="s">
        <v>1113</v>
      </c>
      <c r="B898" s="3">
        <v>46192</v>
      </c>
      <c r="C898" t="s">
        <v>443</v>
      </c>
      <c r="D898" t="s">
        <v>72</v>
      </c>
      <c r="E898" t="s">
        <v>23</v>
      </c>
      <c r="F898" t="s">
        <v>24</v>
      </c>
      <c r="G898">
        <v>3</v>
      </c>
      <c r="H898" s="4">
        <v>0.95</v>
      </c>
      <c r="I898" t="s">
        <v>19</v>
      </c>
      <c r="J898">
        <v>50</v>
      </c>
      <c r="K898">
        <v>1</v>
      </c>
      <c r="L898">
        <v>8</v>
      </c>
      <c r="M898" s="5">
        <v>4.2</v>
      </c>
      <c r="N898" s="4">
        <f t="shared" ref="N898:N961" si="14">G898*H898</f>
        <v>2.8499999999999996</v>
      </c>
      <c r="O898">
        <f>HOUR(TIMEVALUE(RetailTransactions[[#This Row],[Time]]))</f>
        <v>17</v>
      </c>
    </row>
    <row r="899" spans="1:15">
      <c r="A899" t="s">
        <v>1114</v>
      </c>
      <c r="B899" s="3">
        <v>46185</v>
      </c>
      <c r="C899" t="s">
        <v>101</v>
      </c>
      <c r="D899" t="s">
        <v>72</v>
      </c>
      <c r="E899" t="s">
        <v>42</v>
      </c>
      <c r="F899" t="s">
        <v>43</v>
      </c>
      <c r="G899">
        <v>2</v>
      </c>
      <c r="H899" s="4">
        <v>1.39</v>
      </c>
      <c r="I899" t="s">
        <v>19</v>
      </c>
      <c r="J899">
        <v>44</v>
      </c>
      <c r="K899">
        <v>0</v>
      </c>
      <c r="L899">
        <v>4</v>
      </c>
      <c r="M899" s="5">
        <v>4.5</v>
      </c>
      <c r="N899" s="4">
        <f t="shared" si="14"/>
        <v>2.78</v>
      </c>
      <c r="O899">
        <f>HOUR(TIMEVALUE(RetailTransactions[[#This Row],[Time]]))</f>
        <v>14</v>
      </c>
    </row>
    <row r="900" spans="1:15">
      <c r="A900" t="s">
        <v>1115</v>
      </c>
      <c r="B900" s="3">
        <v>46263</v>
      </c>
      <c r="C900" t="s">
        <v>154</v>
      </c>
      <c r="D900" t="s">
        <v>66</v>
      </c>
      <c r="E900" t="s">
        <v>42</v>
      </c>
      <c r="F900" t="s">
        <v>43</v>
      </c>
      <c r="G900">
        <v>1</v>
      </c>
      <c r="H900" s="4">
        <v>1.39</v>
      </c>
      <c r="I900" t="s">
        <v>19</v>
      </c>
      <c r="J900">
        <v>38</v>
      </c>
      <c r="K900">
        <v>0</v>
      </c>
      <c r="L900">
        <v>4</v>
      </c>
      <c r="M900" s="5">
        <v>4.8</v>
      </c>
      <c r="N900" s="4">
        <f t="shared" si="14"/>
        <v>1.39</v>
      </c>
      <c r="O900">
        <f>HOUR(TIMEVALUE(RetailTransactions[[#This Row],[Time]]))</f>
        <v>16</v>
      </c>
    </row>
    <row r="901" spans="1:15">
      <c r="A901" t="s">
        <v>1116</v>
      </c>
      <c r="B901" s="3">
        <v>46183</v>
      </c>
      <c r="C901" t="s">
        <v>168</v>
      </c>
      <c r="D901" t="s">
        <v>16</v>
      </c>
      <c r="E901" t="s">
        <v>60</v>
      </c>
      <c r="F901" t="s">
        <v>29</v>
      </c>
      <c r="G901">
        <v>1</v>
      </c>
      <c r="H901" s="4">
        <v>2.69</v>
      </c>
      <c r="I901" t="s">
        <v>19</v>
      </c>
      <c r="J901">
        <v>35</v>
      </c>
      <c r="K901">
        <v>0</v>
      </c>
      <c r="L901">
        <v>8</v>
      </c>
      <c r="M901" s="5">
        <v>2.8</v>
      </c>
      <c r="N901" s="4">
        <f t="shared" si="14"/>
        <v>2.69</v>
      </c>
      <c r="O901">
        <f>HOUR(TIMEVALUE(RetailTransactions[[#This Row],[Time]]))</f>
        <v>13</v>
      </c>
    </row>
    <row r="902" spans="1:15">
      <c r="A902" t="s">
        <v>1117</v>
      </c>
      <c r="B902" s="3">
        <v>46263</v>
      </c>
      <c r="C902" t="s">
        <v>1118</v>
      </c>
      <c r="D902" t="s">
        <v>66</v>
      </c>
      <c r="E902" t="s">
        <v>34</v>
      </c>
      <c r="F902" t="s">
        <v>24</v>
      </c>
      <c r="G902">
        <v>2</v>
      </c>
      <c r="H902" s="4">
        <v>1.49</v>
      </c>
      <c r="I902" t="s">
        <v>19</v>
      </c>
      <c r="J902">
        <v>53</v>
      </c>
      <c r="K902">
        <v>0</v>
      </c>
      <c r="L902">
        <v>7</v>
      </c>
      <c r="M902" s="5">
        <v>1.1000000000000001</v>
      </c>
      <c r="N902" s="4">
        <f t="shared" si="14"/>
        <v>2.98</v>
      </c>
      <c r="O902">
        <f>HOUR(TIMEVALUE(RetailTransactions[[#This Row],[Time]]))</f>
        <v>7</v>
      </c>
    </row>
    <row r="903" spans="1:15">
      <c r="A903" t="s">
        <v>1119</v>
      </c>
      <c r="B903" s="3">
        <v>46208</v>
      </c>
      <c r="C903" t="s">
        <v>77</v>
      </c>
      <c r="D903" t="s">
        <v>27</v>
      </c>
      <c r="E903" t="s">
        <v>60</v>
      </c>
      <c r="F903" t="s">
        <v>29</v>
      </c>
      <c r="G903">
        <v>2</v>
      </c>
      <c r="H903" s="4">
        <v>2.69</v>
      </c>
      <c r="I903" t="s">
        <v>19</v>
      </c>
      <c r="J903">
        <v>59</v>
      </c>
      <c r="K903">
        <v>0</v>
      </c>
      <c r="L903">
        <v>9</v>
      </c>
      <c r="M903" s="5">
        <v>5.5</v>
      </c>
      <c r="N903" s="4">
        <f t="shared" si="14"/>
        <v>5.38</v>
      </c>
      <c r="O903">
        <f>HOUR(TIMEVALUE(RetailTransactions[[#This Row],[Time]]))</f>
        <v>12</v>
      </c>
    </row>
    <row r="904" spans="1:15">
      <c r="A904" t="s">
        <v>1120</v>
      </c>
      <c r="B904" s="3">
        <v>46240</v>
      </c>
      <c r="C904" t="s">
        <v>101</v>
      </c>
      <c r="D904" t="s">
        <v>37</v>
      </c>
      <c r="E904" t="s">
        <v>49</v>
      </c>
      <c r="F904" t="s">
        <v>50</v>
      </c>
      <c r="G904">
        <v>2</v>
      </c>
      <c r="H904" s="4">
        <v>3.95</v>
      </c>
      <c r="I904" t="s">
        <v>19</v>
      </c>
      <c r="J904">
        <v>12</v>
      </c>
      <c r="K904">
        <v>1</v>
      </c>
      <c r="L904">
        <v>7</v>
      </c>
      <c r="M904" s="5">
        <v>1.1000000000000001</v>
      </c>
      <c r="N904" s="4">
        <f t="shared" si="14"/>
        <v>7.9</v>
      </c>
      <c r="O904">
        <f>HOUR(TIMEVALUE(RetailTransactions[[#This Row],[Time]]))</f>
        <v>14</v>
      </c>
    </row>
    <row r="905" spans="1:15">
      <c r="A905" t="s">
        <v>1121</v>
      </c>
      <c r="B905" s="3">
        <v>46223</v>
      </c>
      <c r="C905" t="s">
        <v>275</v>
      </c>
      <c r="D905" t="s">
        <v>33</v>
      </c>
      <c r="E905" t="s">
        <v>78</v>
      </c>
      <c r="F905" t="s">
        <v>39</v>
      </c>
      <c r="G905">
        <v>2</v>
      </c>
      <c r="H905" s="4">
        <v>1.55</v>
      </c>
      <c r="I905" t="s">
        <v>19</v>
      </c>
      <c r="J905">
        <v>6</v>
      </c>
      <c r="K905">
        <v>0</v>
      </c>
      <c r="L905">
        <v>5</v>
      </c>
      <c r="M905" s="5">
        <v>2.8</v>
      </c>
      <c r="N905" s="4">
        <f t="shared" si="14"/>
        <v>3.1</v>
      </c>
      <c r="O905">
        <f>HOUR(TIMEVALUE(RetailTransactions[[#This Row],[Time]]))</f>
        <v>14</v>
      </c>
    </row>
    <row r="906" spans="1:15">
      <c r="A906" t="s">
        <v>1122</v>
      </c>
      <c r="B906" s="3">
        <v>46228</v>
      </c>
      <c r="C906" t="s">
        <v>388</v>
      </c>
      <c r="D906" t="s">
        <v>66</v>
      </c>
      <c r="E906" t="s">
        <v>115</v>
      </c>
      <c r="F906" t="s">
        <v>29</v>
      </c>
      <c r="G906">
        <v>2</v>
      </c>
      <c r="H906" s="4">
        <v>3.99</v>
      </c>
      <c r="I906" t="s">
        <v>19</v>
      </c>
      <c r="J906">
        <v>55</v>
      </c>
      <c r="K906">
        <v>0</v>
      </c>
      <c r="L906">
        <v>9</v>
      </c>
      <c r="M906" s="5">
        <v>5.0999999999999996</v>
      </c>
      <c r="N906" s="4">
        <f t="shared" si="14"/>
        <v>7.98</v>
      </c>
      <c r="O906">
        <f>HOUR(TIMEVALUE(RetailTransactions[[#This Row],[Time]]))</f>
        <v>18</v>
      </c>
    </row>
    <row r="907" spans="1:15">
      <c r="A907" t="s">
        <v>1123</v>
      </c>
      <c r="B907" s="3">
        <v>46214</v>
      </c>
      <c r="C907" t="s">
        <v>458</v>
      </c>
      <c r="D907" t="s">
        <v>66</v>
      </c>
      <c r="E907" t="s">
        <v>46</v>
      </c>
      <c r="F907" t="s">
        <v>24</v>
      </c>
      <c r="G907">
        <v>1</v>
      </c>
      <c r="H907" s="4">
        <v>1.79</v>
      </c>
      <c r="I907" t="s">
        <v>19</v>
      </c>
      <c r="J907">
        <v>4</v>
      </c>
      <c r="K907">
        <v>0</v>
      </c>
      <c r="L907">
        <v>6</v>
      </c>
      <c r="M907" s="5">
        <v>6</v>
      </c>
      <c r="N907" s="4">
        <f t="shared" si="14"/>
        <v>1.79</v>
      </c>
      <c r="O907">
        <f>HOUR(TIMEVALUE(RetailTransactions[[#This Row],[Time]]))</f>
        <v>13</v>
      </c>
    </row>
    <row r="908" spans="1:15">
      <c r="A908" t="s">
        <v>1124</v>
      </c>
      <c r="B908" s="3">
        <v>46183</v>
      </c>
      <c r="C908" t="s">
        <v>36</v>
      </c>
      <c r="D908" t="s">
        <v>16</v>
      </c>
      <c r="E908" t="s">
        <v>85</v>
      </c>
      <c r="F908" t="s">
        <v>18</v>
      </c>
      <c r="G908">
        <v>1</v>
      </c>
      <c r="H908" s="4">
        <v>2.4900000000000002</v>
      </c>
      <c r="I908" t="s">
        <v>19</v>
      </c>
      <c r="J908">
        <v>34</v>
      </c>
      <c r="K908">
        <v>0</v>
      </c>
      <c r="L908">
        <v>9</v>
      </c>
      <c r="M908" s="5">
        <v>5.8</v>
      </c>
      <c r="N908" s="4">
        <f t="shared" si="14"/>
        <v>2.4900000000000002</v>
      </c>
      <c r="O908">
        <f>HOUR(TIMEVALUE(RetailTransactions[[#This Row],[Time]]))</f>
        <v>12</v>
      </c>
    </row>
    <row r="909" spans="1:15">
      <c r="A909" t="s">
        <v>1125</v>
      </c>
      <c r="B909" s="3">
        <v>46197</v>
      </c>
      <c r="C909" t="s">
        <v>54</v>
      </c>
      <c r="D909" t="s">
        <v>16</v>
      </c>
      <c r="E909" t="s">
        <v>42</v>
      </c>
      <c r="F909" t="s">
        <v>43</v>
      </c>
      <c r="G909">
        <v>2</v>
      </c>
      <c r="H909" s="4">
        <v>1.39</v>
      </c>
      <c r="I909" t="s">
        <v>19</v>
      </c>
      <c r="J909">
        <v>43</v>
      </c>
      <c r="K909">
        <v>0</v>
      </c>
      <c r="L909">
        <v>5</v>
      </c>
      <c r="M909" s="5">
        <v>3.9</v>
      </c>
      <c r="N909" s="4">
        <f t="shared" si="14"/>
        <v>2.78</v>
      </c>
      <c r="O909">
        <f>HOUR(TIMEVALUE(RetailTransactions[[#This Row],[Time]]))</f>
        <v>11</v>
      </c>
    </row>
    <row r="910" spans="1:15">
      <c r="A910" t="s">
        <v>1126</v>
      </c>
      <c r="B910" s="3">
        <v>46239</v>
      </c>
      <c r="C910" t="s">
        <v>590</v>
      </c>
      <c r="D910" t="s">
        <v>16</v>
      </c>
      <c r="E910" t="s">
        <v>46</v>
      </c>
      <c r="F910" t="s">
        <v>24</v>
      </c>
      <c r="G910">
        <v>1</v>
      </c>
      <c r="H910" s="4">
        <v>1.79</v>
      </c>
      <c r="I910" t="s">
        <v>19</v>
      </c>
      <c r="J910">
        <v>49</v>
      </c>
      <c r="K910">
        <v>0</v>
      </c>
      <c r="L910">
        <v>6</v>
      </c>
      <c r="M910" s="5">
        <v>3.2</v>
      </c>
      <c r="N910" s="4">
        <f t="shared" si="14"/>
        <v>1.79</v>
      </c>
      <c r="O910">
        <f>HOUR(TIMEVALUE(RetailTransactions[[#This Row],[Time]]))</f>
        <v>12</v>
      </c>
    </row>
    <row r="911" spans="1:15">
      <c r="A911" t="s">
        <v>1127</v>
      </c>
      <c r="B911" s="3">
        <v>46222</v>
      </c>
      <c r="C911" t="s">
        <v>59</v>
      </c>
      <c r="D911" t="s">
        <v>27</v>
      </c>
      <c r="E911" t="s">
        <v>28</v>
      </c>
      <c r="F911" t="s">
        <v>29</v>
      </c>
      <c r="G911">
        <v>1</v>
      </c>
      <c r="H911" s="4">
        <v>2.8</v>
      </c>
      <c r="I911" t="s">
        <v>30</v>
      </c>
      <c r="J911">
        <v>60</v>
      </c>
      <c r="K911">
        <v>1</v>
      </c>
      <c r="L911">
        <v>8</v>
      </c>
      <c r="M911" s="5">
        <v>3.8</v>
      </c>
      <c r="N911" s="4">
        <f t="shared" si="14"/>
        <v>2.8</v>
      </c>
      <c r="O911">
        <f>HOUR(TIMEVALUE(RetailTransactions[[#This Row],[Time]]))</f>
        <v>12</v>
      </c>
    </row>
    <row r="912" spans="1:15">
      <c r="A912" t="s">
        <v>1128</v>
      </c>
      <c r="B912" s="3">
        <v>46200</v>
      </c>
      <c r="C912" t="s">
        <v>108</v>
      </c>
      <c r="D912" t="s">
        <v>66</v>
      </c>
      <c r="E912" t="s">
        <v>46</v>
      </c>
      <c r="F912" t="s">
        <v>24</v>
      </c>
      <c r="G912">
        <v>1</v>
      </c>
      <c r="H912" s="4">
        <v>1.79</v>
      </c>
      <c r="I912" t="s">
        <v>19</v>
      </c>
      <c r="J912">
        <v>39</v>
      </c>
      <c r="K912">
        <v>0</v>
      </c>
      <c r="L912">
        <v>7</v>
      </c>
      <c r="M912" s="5">
        <v>2.9</v>
      </c>
      <c r="N912" s="4">
        <f t="shared" si="14"/>
        <v>1.79</v>
      </c>
      <c r="O912">
        <f>HOUR(TIMEVALUE(RetailTransactions[[#This Row],[Time]]))</f>
        <v>14</v>
      </c>
    </row>
    <row r="913" spans="1:15">
      <c r="A913" t="s">
        <v>1129</v>
      </c>
      <c r="B913" s="3">
        <v>46208</v>
      </c>
      <c r="C913" t="s">
        <v>163</v>
      </c>
      <c r="D913" t="s">
        <v>27</v>
      </c>
      <c r="E913" t="s">
        <v>42</v>
      </c>
      <c r="F913" t="s">
        <v>43</v>
      </c>
      <c r="G913">
        <v>1</v>
      </c>
      <c r="H913" s="4">
        <v>1.39</v>
      </c>
      <c r="I913" t="s">
        <v>19</v>
      </c>
      <c r="J913">
        <v>10</v>
      </c>
      <c r="K913">
        <v>0</v>
      </c>
      <c r="L913">
        <v>6</v>
      </c>
      <c r="M913" s="5">
        <v>3.2</v>
      </c>
      <c r="N913" s="4">
        <f t="shared" si="14"/>
        <v>1.39</v>
      </c>
      <c r="O913">
        <f>HOUR(TIMEVALUE(RetailTransactions[[#This Row],[Time]]))</f>
        <v>17</v>
      </c>
    </row>
    <row r="914" spans="1:15">
      <c r="A914" t="s">
        <v>1130</v>
      </c>
      <c r="B914" s="3">
        <v>46224</v>
      </c>
      <c r="C914" t="s">
        <v>458</v>
      </c>
      <c r="D914" t="s">
        <v>22</v>
      </c>
      <c r="E914" t="s">
        <v>69</v>
      </c>
      <c r="F914" t="s">
        <v>43</v>
      </c>
      <c r="G914">
        <v>3</v>
      </c>
      <c r="H914" s="4">
        <v>1.99</v>
      </c>
      <c r="I914" t="s">
        <v>19</v>
      </c>
      <c r="J914">
        <v>25</v>
      </c>
      <c r="K914">
        <v>0</v>
      </c>
      <c r="L914">
        <v>8</v>
      </c>
      <c r="M914" s="5">
        <v>4.5</v>
      </c>
      <c r="N914" s="4">
        <f t="shared" si="14"/>
        <v>5.97</v>
      </c>
      <c r="O914">
        <f>HOUR(TIMEVALUE(RetailTransactions[[#This Row],[Time]]))</f>
        <v>13</v>
      </c>
    </row>
    <row r="915" spans="1:15">
      <c r="A915" t="s">
        <v>1131</v>
      </c>
      <c r="B915" s="3">
        <v>46219</v>
      </c>
      <c r="C915" t="s">
        <v>101</v>
      </c>
      <c r="D915" t="s">
        <v>37</v>
      </c>
      <c r="E915" t="s">
        <v>38</v>
      </c>
      <c r="F915" t="s">
        <v>39</v>
      </c>
      <c r="G915">
        <v>3</v>
      </c>
      <c r="H915" s="4">
        <v>2.79</v>
      </c>
      <c r="I915" t="s">
        <v>19</v>
      </c>
      <c r="J915">
        <v>36</v>
      </c>
      <c r="K915">
        <v>1</v>
      </c>
      <c r="L915">
        <v>7</v>
      </c>
      <c r="M915" s="5">
        <v>1.1000000000000001</v>
      </c>
      <c r="N915" s="4">
        <f t="shared" si="14"/>
        <v>8.370000000000001</v>
      </c>
      <c r="O915">
        <f>HOUR(TIMEVALUE(RetailTransactions[[#This Row],[Time]]))</f>
        <v>14</v>
      </c>
    </row>
    <row r="916" spans="1:15">
      <c r="A916" t="s">
        <v>1132</v>
      </c>
      <c r="B916" s="3">
        <v>46234</v>
      </c>
      <c r="C916" t="s">
        <v>119</v>
      </c>
      <c r="D916" t="s">
        <v>72</v>
      </c>
      <c r="E916" t="s">
        <v>120</v>
      </c>
      <c r="F916" t="s">
        <v>50</v>
      </c>
      <c r="G916">
        <v>2</v>
      </c>
      <c r="H916" s="4">
        <v>1.91</v>
      </c>
      <c r="I916" t="s">
        <v>30</v>
      </c>
      <c r="J916">
        <v>16</v>
      </c>
      <c r="K916">
        <v>0</v>
      </c>
      <c r="L916">
        <v>7</v>
      </c>
      <c r="M916" s="5">
        <v>1.6</v>
      </c>
      <c r="N916" s="4">
        <f t="shared" si="14"/>
        <v>3.82</v>
      </c>
      <c r="O916">
        <f>HOUR(TIMEVALUE(RetailTransactions[[#This Row],[Time]]))</f>
        <v>10</v>
      </c>
    </row>
    <row r="917" spans="1:15">
      <c r="A917" t="s">
        <v>1133</v>
      </c>
      <c r="B917" s="3">
        <v>46221</v>
      </c>
      <c r="C917" t="s">
        <v>1134</v>
      </c>
      <c r="D917" t="s">
        <v>66</v>
      </c>
      <c r="E917" t="s">
        <v>69</v>
      </c>
      <c r="F917" t="s">
        <v>43</v>
      </c>
      <c r="G917">
        <v>2</v>
      </c>
      <c r="H917" s="4">
        <v>1.99</v>
      </c>
      <c r="I917" t="s">
        <v>19</v>
      </c>
      <c r="J917">
        <v>28</v>
      </c>
      <c r="K917">
        <v>1</v>
      </c>
      <c r="L917">
        <v>7</v>
      </c>
      <c r="M917" s="5">
        <v>2.5</v>
      </c>
      <c r="N917" s="4">
        <f t="shared" si="14"/>
        <v>3.98</v>
      </c>
      <c r="O917">
        <f>HOUR(TIMEVALUE(RetailTransactions[[#This Row],[Time]]))</f>
        <v>10</v>
      </c>
    </row>
    <row r="918" spans="1:15">
      <c r="A918" t="s">
        <v>1135</v>
      </c>
      <c r="B918" s="3">
        <v>46184</v>
      </c>
      <c r="C918" t="s">
        <v>48</v>
      </c>
      <c r="D918" t="s">
        <v>37</v>
      </c>
      <c r="E918" t="s">
        <v>38</v>
      </c>
      <c r="F918" t="s">
        <v>39</v>
      </c>
      <c r="G918">
        <v>1</v>
      </c>
      <c r="H918" s="4">
        <v>2.79</v>
      </c>
      <c r="I918" t="s">
        <v>19</v>
      </c>
      <c r="J918">
        <v>52</v>
      </c>
      <c r="K918">
        <v>0</v>
      </c>
      <c r="L918">
        <v>9</v>
      </c>
      <c r="M918" s="5">
        <v>4.0999999999999996</v>
      </c>
      <c r="N918" s="4">
        <f t="shared" si="14"/>
        <v>2.79</v>
      </c>
      <c r="O918">
        <f>HOUR(TIMEVALUE(RetailTransactions[[#This Row],[Time]]))</f>
        <v>17</v>
      </c>
    </row>
    <row r="919" spans="1:15">
      <c r="A919" t="s">
        <v>1136</v>
      </c>
      <c r="B919" s="3">
        <v>46188</v>
      </c>
      <c r="C919" t="s">
        <v>211</v>
      </c>
      <c r="D919" t="s">
        <v>33</v>
      </c>
      <c r="E919" t="s">
        <v>34</v>
      </c>
      <c r="F919" t="s">
        <v>24</v>
      </c>
      <c r="G919">
        <v>2</v>
      </c>
      <c r="H919" s="4">
        <v>1.49</v>
      </c>
      <c r="I919" t="s">
        <v>19</v>
      </c>
      <c r="J919">
        <v>18</v>
      </c>
      <c r="K919">
        <v>2</v>
      </c>
      <c r="L919">
        <v>7</v>
      </c>
      <c r="M919" s="5">
        <v>2.2000000000000002</v>
      </c>
      <c r="N919" s="4">
        <f t="shared" si="14"/>
        <v>2.98</v>
      </c>
      <c r="O919">
        <f>HOUR(TIMEVALUE(RetailTransactions[[#This Row],[Time]]))</f>
        <v>14</v>
      </c>
    </row>
    <row r="920" spans="1:15">
      <c r="A920" t="s">
        <v>1137</v>
      </c>
      <c r="B920" s="3">
        <v>46235</v>
      </c>
      <c r="C920" t="s">
        <v>93</v>
      </c>
      <c r="D920" t="s">
        <v>66</v>
      </c>
      <c r="E920" t="s">
        <v>106</v>
      </c>
      <c r="F920" t="s">
        <v>18</v>
      </c>
      <c r="G920">
        <v>2</v>
      </c>
      <c r="H920" s="4">
        <v>1.61</v>
      </c>
      <c r="I920" t="s">
        <v>30</v>
      </c>
      <c r="J920">
        <v>36</v>
      </c>
      <c r="K920">
        <v>0</v>
      </c>
      <c r="L920">
        <v>8</v>
      </c>
      <c r="M920" s="5">
        <v>5.8</v>
      </c>
      <c r="N920" s="4">
        <f t="shared" si="14"/>
        <v>3.22</v>
      </c>
      <c r="O920">
        <f>HOUR(TIMEVALUE(RetailTransactions[[#This Row],[Time]]))</f>
        <v>12</v>
      </c>
    </row>
    <row r="921" spans="1:15">
      <c r="A921" t="s">
        <v>1138</v>
      </c>
      <c r="B921" s="3">
        <v>46221</v>
      </c>
      <c r="C921" t="s">
        <v>275</v>
      </c>
      <c r="D921" t="s">
        <v>66</v>
      </c>
      <c r="E921" t="s">
        <v>49</v>
      </c>
      <c r="F921" t="s">
        <v>50</v>
      </c>
      <c r="G921">
        <v>1</v>
      </c>
      <c r="H921" s="4">
        <v>3.95</v>
      </c>
      <c r="I921" t="s">
        <v>19</v>
      </c>
      <c r="J921">
        <v>21</v>
      </c>
      <c r="K921">
        <v>0</v>
      </c>
      <c r="L921">
        <v>4</v>
      </c>
      <c r="M921" s="5">
        <v>4.7</v>
      </c>
      <c r="N921" s="4">
        <f t="shared" si="14"/>
        <v>3.95</v>
      </c>
      <c r="O921">
        <f>HOUR(TIMEVALUE(RetailTransactions[[#This Row],[Time]]))</f>
        <v>14</v>
      </c>
    </row>
    <row r="922" spans="1:15">
      <c r="A922" t="s">
        <v>1139</v>
      </c>
      <c r="B922" s="3">
        <v>46183</v>
      </c>
      <c r="C922" t="s">
        <v>458</v>
      </c>
      <c r="D922" t="s">
        <v>16</v>
      </c>
      <c r="E922" t="s">
        <v>106</v>
      </c>
      <c r="F922" t="s">
        <v>18</v>
      </c>
      <c r="G922">
        <v>3</v>
      </c>
      <c r="H922" s="4">
        <v>1.89</v>
      </c>
      <c r="I922" t="s">
        <v>19</v>
      </c>
      <c r="J922">
        <v>9</v>
      </c>
      <c r="K922">
        <v>0</v>
      </c>
      <c r="L922">
        <v>6</v>
      </c>
      <c r="M922" s="5">
        <v>4.0999999999999996</v>
      </c>
      <c r="N922" s="4">
        <f t="shared" si="14"/>
        <v>5.67</v>
      </c>
      <c r="O922">
        <f>HOUR(TIMEVALUE(RetailTransactions[[#This Row],[Time]]))</f>
        <v>13</v>
      </c>
    </row>
    <row r="923" spans="1:15">
      <c r="A923" t="s">
        <v>1140</v>
      </c>
      <c r="B923" s="3">
        <v>46222</v>
      </c>
      <c r="C923" t="s">
        <v>163</v>
      </c>
      <c r="D923" t="s">
        <v>27</v>
      </c>
      <c r="E923" t="s">
        <v>106</v>
      </c>
      <c r="F923" t="s">
        <v>18</v>
      </c>
      <c r="G923">
        <v>1</v>
      </c>
      <c r="H923" s="4">
        <v>1.61</v>
      </c>
      <c r="I923" t="s">
        <v>30</v>
      </c>
      <c r="J923">
        <v>18</v>
      </c>
      <c r="K923">
        <v>0</v>
      </c>
      <c r="L923">
        <v>8</v>
      </c>
      <c r="M923" s="5">
        <v>6.9</v>
      </c>
      <c r="N923" s="4">
        <f t="shared" si="14"/>
        <v>1.61</v>
      </c>
      <c r="O923">
        <f>HOUR(TIMEVALUE(RetailTransactions[[#This Row],[Time]]))</f>
        <v>17</v>
      </c>
    </row>
    <row r="924" spans="1:15">
      <c r="A924" t="s">
        <v>1141</v>
      </c>
      <c r="B924" s="3">
        <v>46194</v>
      </c>
      <c r="C924" t="s">
        <v>247</v>
      </c>
      <c r="D924" t="s">
        <v>27</v>
      </c>
      <c r="E924" t="s">
        <v>42</v>
      </c>
      <c r="F924" t="s">
        <v>43</v>
      </c>
      <c r="G924">
        <v>2</v>
      </c>
      <c r="H924" s="4">
        <v>1.18</v>
      </c>
      <c r="I924" t="s">
        <v>30</v>
      </c>
      <c r="J924">
        <v>55</v>
      </c>
      <c r="K924">
        <v>0</v>
      </c>
      <c r="L924">
        <v>8</v>
      </c>
      <c r="M924" s="5">
        <v>5.9</v>
      </c>
      <c r="N924" s="4">
        <f t="shared" si="14"/>
        <v>2.36</v>
      </c>
      <c r="O924">
        <f>HOUR(TIMEVALUE(RetailTransactions[[#This Row],[Time]]))</f>
        <v>17</v>
      </c>
    </row>
    <row r="925" spans="1:15">
      <c r="A925" t="s">
        <v>1142</v>
      </c>
      <c r="B925" s="3">
        <v>46234</v>
      </c>
      <c r="C925" t="s">
        <v>523</v>
      </c>
      <c r="D925" t="s">
        <v>72</v>
      </c>
      <c r="E925" t="s">
        <v>125</v>
      </c>
      <c r="F925" t="s">
        <v>39</v>
      </c>
      <c r="G925">
        <v>1</v>
      </c>
      <c r="H925" s="4">
        <v>1.85</v>
      </c>
      <c r="I925" t="s">
        <v>19</v>
      </c>
      <c r="J925">
        <v>29</v>
      </c>
      <c r="K925">
        <v>0</v>
      </c>
      <c r="L925">
        <v>4</v>
      </c>
      <c r="M925" s="5">
        <v>4.3</v>
      </c>
      <c r="N925" s="4">
        <f t="shared" si="14"/>
        <v>1.85</v>
      </c>
      <c r="O925">
        <f>HOUR(TIMEVALUE(RetailTransactions[[#This Row],[Time]]))</f>
        <v>9</v>
      </c>
    </row>
    <row r="926" spans="1:15">
      <c r="A926" t="s">
        <v>1143</v>
      </c>
      <c r="B926" s="3">
        <v>46206</v>
      </c>
      <c r="C926" t="s">
        <v>103</v>
      </c>
      <c r="D926" t="s">
        <v>72</v>
      </c>
      <c r="E926" t="s">
        <v>60</v>
      </c>
      <c r="F926" t="s">
        <v>29</v>
      </c>
      <c r="G926">
        <v>1</v>
      </c>
      <c r="H926" s="4">
        <v>2.69</v>
      </c>
      <c r="I926" t="s">
        <v>19</v>
      </c>
      <c r="J926">
        <v>24</v>
      </c>
      <c r="K926">
        <v>0</v>
      </c>
      <c r="L926">
        <v>5</v>
      </c>
      <c r="M926" s="5">
        <v>3.2</v>
      </c>
      <c r="N926" s="4">
        <f t="shared" si="14"/>
        <v>2.69</v>
      </c>
      <c r="O926">
        <f>HOUR(TIMEVALUE(RetailTransactions[[#This Row],[Time]]))</f>
        <v>8</v>
      </c>
    </row>
    <row r="927" spans="1:15">
      <c r="A927" t="s">
        <v>1144</v>
      </c>
      <c r="B927" s="3">
        <v>46219</v>
      </c>
      <c r="C927" t="s">
        <v>347</v>
      </c>
      <c r="D927" t="s">
        <v>37</v>
      </c>
      <c r="E927" t="s">
        <v>23</v>
      </c>
      <c r="F927" t="s">
        <v>24</v>
      </c>
      <c r="G927">
        <v>2</v>
      </c>
      <c r="H927" s="4">
        <v>0.81</v>
      </c>
      <c r="I927" t="s">
        <v>30</v>
      </c>
      <c r="J927">
        <v>19</v>
      </c>
      <c r="K927">
        <v>1</v>
      </c>
      <c r="L927">
        <v>7</v>
      </c>
      <c r="M927" s="5">
        <v>5.5</v>
      </c>
      <c r="N927" s="4">
        <f t="shared" si="14"/>
        <v>1.62</v>
      </c>
      <c r="O927">
        <f>HOUR(TIMEVALUE(RetailTransactions[[#This Row],[Time]]))</f>
        <v>12</v>
      </c>
    </row>
    <row r="928" spans="1:15">
      <c r="A928" t="s">
        <v>1145</v>
      </c>
      <c r="B928" s="3">
        <v>46175</v>
      </c>
      <c r="C928" t="s">
        <v>170</v>
      </c>
      <c r="D928" t="s">
        <v>22</v>
      </c>
      <c r="E928" t="s">
        <v>69</v>
      </c>
      <c r="F928" t="s">
        <v>43</v>
      </c>
      <c r="G928">
        <v>1</v>
      </c>
      <c r="H928" s="4">
        <v>1.69</v>
      </c>
      <c r="I928" t="s">
        <v>30</v>
      </c>
      <c r="J928">
        <v>46</v>
      </c>
      <c r="K928">
        <v>0</v>
      </c>
      <c r="L928">
        <v>7</v>
      </c>
      <c r="M928" s="5">
        <v>4.5999999999999996</v>
      </c>
      <c r="N928" s="4">
        <f t="shared" si="14"/>
        <v>1.69</v>
      </c>
      <c r="O928">
        <f>HOUR(TIMEVALUE(RetailTransactions[[#This Row],[Time]]))</f>
        <v>13</v>
      </c>
    </row>
    <row r="929" spans="1:15">
      <c r="A929" t="s">
        <v>1146</v>
      </c>
      <c r="B929" s="3">
        <v>46202</v>
      </c>
      <c r="C929" t="s">
        <v>170</v>
      </c>
      <c r="D929" t="s">
        <v>33</v>
      </c>
      <c r="E929" t="s">
        <v>57</v>
      </c>
      <c r="F929" t="s">
        <v>43</v>
      </c>
      <c r="G929">
        <v>1</v>
      </c>
      <c r="H929" s="4">
        <v>1.44</v>
      </c>
      <c r="I929" t="s">
        <v>30</v>
      </c>
      <c r="J929">
        <v>29</v>
      </c>
      <c r="K929">
        <v>0</v>
      </c>
      <c r="L929">
        <v>8</v>
      </c>
      <c r="M929" s="5">
        <v>5.5</v>
      </c>
      <c r="N929" s="4">
        <f t="shared" si="14"/>
        <v>1.44</v>
      </c>
      <c r="O929">
        <f>HOUR(TIMEVALUE(RetailTransactions[[#This Row],[Time]]))</f>
        <v>13</v>
      </c>
    </row>
    <row r="930" spans="1:15">
      <c r="A930" t="s">
        <v>1147</v>
      </c>
      <c r="B930" s="3">
        <v>46210</v>
      </c>
      <c r="C930" t="s">
        <v>590</v>
      </c>
      <c r="D930" t="s">
        <v>22</v>
      </c>
      <c r="E930" t="s">
        <v>42</v>
      </c>
      <c r="F930" t="s">
        <v>43</v>
      </c>
      <c r="G930">
        <v>3</v>
      </c>
      <c r="H930" s="4">
        <v>1.18</v>
      </c>
      <c r="I930" t="s">
        <v>30</v>
      </c>
      <c r="J930">
        <v>35</v>
      </c>
      <c r="K930">
        <v>0</v>
      </c>
      <c r="L930">
        <v>7</v>
      </c>
      <c r="M930" s="5">
        <v>4.7</v>
      </c>
      <c r="N930" s="4">
        <f t="shared" si="14"/>
        <v>3.54</v>
      </c>
      <c r="O930">
        <f>HOUR(TIMEVALUE(RetailTransactions[[#This Row],[Time]]))</f>
        <v>12</v>
      </c>
    </row>
    <row r="931" spans="1:15">
      <c r="A931" t="s">
        <v>1148</v>
      </c>
      <c r="B931" s="3">
        <v>46222</v>
      </c>
      <c r="C931" t="s">
        <v>672</v>
      </c>
      <c r="D931" t="s">
        <v>27</v>
      </c>
      <c r="E931" t="s">
        <v>42</v>
      </c>
      <c r="F931" t="s">
        <v>43</v>
      </c>
      <c r="G931">
        <v>2</v>
      </c>
      <c r="H931" s="4">
        <v>1.39</v>
      </c>
      <c r="I931" t="s">
        <v>19</v>
      </c>
      <c r="J931">
        <v>21</v>
      </c>
      <c r="K931">
        <v>0</v>
      </c>
      <c r="L931">
        <v>6</v>
      </c>
      <c r="M931" s="5">
        <v>1.7</v>
      </c>
      <c r="N931" s="4">
        <f t="shared" si="14"/>
        <v>2.78</v>
      </c>
      <c r="O931">
        <f>HOUR(TIMEVALUE(RetailTransactions[[#This Row],[Time]]))</f>
        <v>16</v>
      </c>
    </row>
    <row r="932" spans="1:15">
      <c r="A932" t="s">
        <v>1149</v>
      </c>
      <c r="B932" s="3">
        <v>46235</v>
      </c>
      <c r="C932" t="s">
        <v>150</v>
      </c>
      <c r="D932" t="s">
        <v>66</v>
      </c>
      <c r="E932" t="s">
        <v>78</v>
      </c>
      <c r="F932" t="s">
        <v>39</v>
      </c>
      <c r="G932">
        <v>1</v>
      </c>
      <c r="H932" s="4">
        <v>1.55</v>
      </c>
      <c r="I932" t="s">
        <v>19</v>
      </c>
      <c r="J932">
        <v>20</v>
      </c>
      <c r="K932">
        <v>0</v>
      </c>
      <c r="L932">
        <v>4</v>
      </c>
      <c r="M932" s="5">
        <v>3.2</v>
      </c>
      <c r="N932" s="4">
        <f t="shared" si="14"/>
        <v>1.55</v>
      </c>
      <c r="O932">
        <f>HOUR(TIMEVALUE(RetailTransactions[[#This Row],[Time]]))</f>
        <v>14</v>
      </c>
    </row>
    <row r="933" spans="1:15">
      <c r="A933" t="s">
        <v>1150</v>
      </c>
      <c r="B933" s="3">
        <v>46241</v>
      </c>
      <c r="C933" t="s">
        <v>204</v>
      </c>
      <c r="D933" t="s">
        <v>72</v>
      </c>
      <c r="E933" t="s">
        <v>34</v>
      </c>
      <c r="F933" t="s">
        <v>24</v>
      </c>
      <c r="G933">
        <v>2</v>
      </c>
      <c r="H933" s="4">
        <v>1.49</v>
      </c>
      <c r="I933" t="s">
        <v>19</v>
      </c>
      <c r="J933">
        <v>24</v>
      </c>
      <c r="K933">
        <v>3</v>
      </c>
      <c r="L933">
        <v>5</v>
      </c>
      <c r="M933" s="5">
        <v>3.4</v>
      </c>
      <c r="N933" s="4">
        <f t="shared" si="14"/>
        <v>2.98</v>
      </c>
      <c r="O933">
        <f>HOUR(TIMEVALUE(RetailTransactions[[#This Row],[Time]]))</f>
        <v>14</v>
      </c>
    </row>
    <row r="934" spans="1:15">
      <c r="A934" t="s">
        <v>1151</v>
      </c>
      <c r="B934" s="3">
        <v>46228</v>
      </c>
      <c r="C934" t="s">
        <v>327</v>
      </c>
      <c r="D934" t="s">
        <v>66</v>
      </c>
      <c r="E934" t="s">
        <v>78</v>
      </c>
      <c r="F934" t="s">
        <v>39</v>
      </c>
      <c r="G934">
        <v>1</v>
      </c>
      <c r="H934" s="4">
        <v>1.55</v>
      </c>
      <c r="I934" t="s">
        <v>19</v>
      </c>
      <c r="J934">
        <v>36</v>
      </c>
      <c r="K934">
        <v>0</v>
      </c>
      <c r="L934">
        <v>7</v>
      </c>
      <c r="M934" s="5">
        <v>5.3</v>
      </c>
      <c r="N934" s="4">
        <f t="shared" si="14"/>
        <v>1.55</v>
      </c>
      <c r="O934">
        <f>HOUR(TIMEVALUE(RetailTransactions[[#This Row],[Time]]))</f>
        <v>19</v>
      </c>
    </row>
    <row r="935" spans="1:15">
      <c r="A935" t="s">
        <v>1152</v>
      </c>
      <c r="B935" s="3">
        <v>46220</v>
      </c>
      <c r="C935" t="s">
        <v>433</v>
      </c>
      <c r="D935" t="s">
        <v>72</v>
      </c>
      <c r="E935" t="s">
        <v>28</v>
      </c>
      <c r="F935" t="s">
        <v>29</v>
      </c>
      <c r="G935">
        <v>1</v>
      </c>
      <c r="H935" s="4">
        <v>2.8</v>
      </c>
      <c r="I935" t="s">
        <v>30</v>
      </c>
      <c r="J935">
        <v>40</v>
      </c>
      <c r="K935">
        <v>0</v>
      </c>
      <c r="L935">
        <v>4</v>
      </c>
      <c r="M935" s="5">
        <v>4.2</v>
      </c>
      <c r="N935" s="4">
        <f t="shared" si="14"/>
        <v>2.8</v>
      </c>
      <c r="O935">
        <f>HOUR(TIMEVALUE(RetailTransactions[[#This Row],[Time]]))</f>
        <v>20</v>
      </c>
    </row>
    <row r="936" spans="1:15">
      <c r="A936" t="s">
        <v>1153</v>
      </c>
      <c r="B936" s="3">
        <v>46205</v>
      </c>
      <c r="C936" t="s">
        <v>247</v>
      </c>
      <c r="D936" t="s">
        <v>37</v>
      </c>
      <c r="E936" t="s">
        <v>115</v>
      </c>
      <c r="F936" t="s">
        <v>29</v>
      </c>
      <c r="G936">
        <v>2</v>
      </c>
      <c r="H936" s="4">
        <v>3.99</v>
      </c>
      <c r="I936" t="s">
        <v>19</v>
      </c>
      <c r="J936">
        <v>13</v>
      </c>
      <c r="K936">
        <v>0</v>
      </c>
      <c r="L936">
        <v>9</v>
      </c>
      <c r="M936" s="5">
        <v>5.5</v>
      </c>
      <c r="N936" s="4">
        <f t="shared" si="14"/>
        <v>7.98</v>
      </c>
      <c r="O936">
        <f>HOUR(TIMEVALUE(RetailTransactions[[#This Row],[Time]]))</f>
        <v>17</v>
      </c>
    </row>
    <row r="937" spans="1:15">
      <c r="A937" t="s">
        <v>1154</v>
      </c>
      <c r="B937" s="3">
        <v>46257</v>
      </c>
      <c r="C937" t="s">
        <v>672</v>
      </c>
      <c r="D937" t="s">
        <v>27</v>
      </c>
      <c r="E937" t="s">
        <v>49</v>
      </c>
      <c r="F937" t="s">
        <v>50</v>
      </c>
      <c r="G937">
        <v>1</v>
      </c>
      <c r="H937" s="4">
        <v>3.95</v>
      </c>
      <c r="I937" t="s">
        <v>19</v>
      </c>
      <c r="J937">
        <v>20</v>
      </c>
      <c r="K937">
        <v>0</v>
      </c>
      <c r="L937">
        <v>5</v>
      </c>
      <c r="M937" s="5">
        <v>4</v>
      </c>
      <c r="N937" s="4">
        <f t="shared" si="14"/>
        <v>3.95</v>
      </c>
      <c r="O937">
        <f>HOUR(TIMEVALUE(RetailTransactions[[#This Row],[Time]]))</f>
        <v>16</v>
      </c>
    </row>
    <row r="938" spans="1:15">
      <c r="A938" t="s">
        <v>1155</v>
      </c>
      <c r="B938" s="3">
        <v>46221</v>
      </c>
      <c r="C938" t="s">
        <v>489</v>
      </c>
      <c r="D938" t="s">
        <v>66</v>
      </c>
      <c r="E938" t="s">
        <v>120</v>
      </c>
      <c r="F938" t="s">
        <v>50</v>
      </c>
      <c r="G938">
        <v>1</v>
      </c>
      <c r="H938" s="4">
        <v>2.25</v>
      </c>
      <c r="I938" t="s">
        <v>19</v>
      </c>
      <c r="J938">
        <v>7</v>
      </c>
      <c r="K938">
        <v>0</v>
      </c>
      <c r="L938">
        <v>5</v>
      </c>
      <c r="M938" s="5">
        <v>3.1</v>
      </c>
      <c r="N938" s="4">
        <f t="shared" si="14"/>
        <v>2.25</v>
      </c>
      <c r="O938">
        <f>HOUR(TIMEVALUE(RetailTransactions[[#This Row],[Time]]))</f>
        <v>11</v>
      </c>
    </row>
    <row r="939" spans="1:15">
      <c r="A939" t="s">
        <v>1156</v>
      </c>
      <c r="B939" s="3">
        <v>46209</v>
      </c>
      <c r="C939" t="s">
        <v>440</v>
      </c>
      <c r="D939" t="s">
        <v>33</v>
      </c>
      <c r="E939" t="s">
        <v>69</v>
      </c>
      <c r="F939" t="s">
        <v>43</v>
      </c>
      <c r="G939">
        <v>3</v>
      </c>
      <c r="H939" s="4">
        <v>1.99</v>
      </c>
      <c r="I939" t="s">
        <v>19</v>
      </c>
      <c r="J939">
        <v>33</v>
      </c>
      <c r="K939">
        <v>1</v>
      </c>
      <c r="L939">
        <v>5</v>
      </c>
      <c r="M939" s="5">
        <v>4.8</v>
      </c>
      <c r="N939" s="4">
        <f t="shared" si="14"/>
        <v>5.97</v>
      </c>
      <c r="O939">
        <f>HOUR(TIMEVALUE(RetailTransactions[[#This Row],[Time]]))</f>
        <v>20</v>
      </c>
    </row>
    <row r="940" spans="1:15">
      <c r="A940" t="s">
        <v>1157</v>
      </c>
      <c r="B940" s="3">
        <v>46253</v>
      </c>
      <c r="C940" t="s">
        <v>147</v>
      </c>
      <c r="D940" t="s">
        <v>16</v>
      </c>
      <c r="E940" t="s">
        <v>17</v>
      </c>
      <c r="F940" t="s">
        <v>18</v>
      </c>
      <c r="G940">
        <v>2</v>
      </c>
      <c r="H940" s="4">
        <v>1.75</v>
      </c>
      <c r="I940" t="s">
        <v>19</v>
      </c>
      <c r="J940">
        <v>8</v>
      </c>
      <c r="K940">
        <v>0</v>
      </c>
      <c r="L940">
        <v>4</v>
      </c>
      <c r="M940" s="5">
        <v>3.9</v>
      </c>
      <c r="N940" s="4">
        <f t="shared" si="14"/>
        <v>3.5</v>
      </c>
      <c r="O940">
        <f>HOUR(TIMEVALUE(RetailTransactions[[#This Row],[Time]]))</f>
        <v>14</v>
      </c>
    </row>
    <row r="941" spans="1:15">
      <c r="A941" t="s">
        <v>1158</v>
      </c>
      <c r="B941" s="3">
        <v>46193</v>
      </c>
      <c r="C941" t="s">
        <v>186</v>
      </c>
      <c r="D941" t="s">
        <v>66</v>
      </c>
      <c r="E941" t="s">
        <v>17</v>
      </c>
      <c r="F941" t="s">
        <v>18</v>
      </c>
      <c r="G941">
        <v>1</v>
      </c>
      <c r="H941" s="4">
        <v>1.49</v>
      </c>
      <c r="I941" t="s">
        <v>30</v>
      </c>
      <c r="J941">
        <v>38</v>
      </c>
      <c r="K941">
        <v>0</v>
      </c>
      <c r="L941">
        <v>9</v>
      </c>
      <c r="M941" s="5">
        <v>4.8</v>
      </c>
      <c r="N941" s="4">
        <f t="shared" si="14"/>
        <v>1.49</v>
      </c>
      <c r="O941">
        <f>HOUR(TIMEVALUE(RetailTransactions[[#This Row],[Time]]))</f>
        <v>18</v>
      </c>
    </row>
    <row r="942" spans="1:15">
      <c r="A942" t="s">
        <v>1159</v>
      </c>
      <c r="B942" s="3">
        <v>46191</v>
      </c>
      <c r="C942" t="s">
        <v>209</v>
      </c>
      <c r="D942" t="s">
        <v>37</v>
      </c>
      <c r="E942" t="s">
        <v>17</v>
      </c>
      <c r="F942" t="s">
        <v>18</v>
      </c>
      <c r="G942">
        <v>1</v>
      </c>
      <c r="H942" s="4">
        <v>1.75</v>
      </c>
      <c r="I942" t="s">
        <v>19</v>
      </c>
      <c r="J942">
        <v>9</v>
      </c>
      <c r="K942">
        <v>0</v>
      </c>
      <c r="L942">
        <v>7</v>
      </c>
      <c r="M942" s="5">
        <v>5.4</v>
      </c>
      <c r="N942" s="4">
        <f t="shared" si="14"/>
        <v>1.75</v>
      </c>
      <c r="O942">
        <f>HOUR(TIMEVALUE(RetailTransactions[[#This Row],[Time]]))</f>
        <v>18</v>
      </c>
    </row>
    <row r="943" spans="1:15">
      <c r="A943" t="s">
        <v>1160</v>
      </c>
      <c r="B943" s="3">
        <v>46194</v>
      </c>
      <c r="C943" t="s">
        <v>132</v>
      </c>
      <c r="D943" t="s">
        <v>27</v>
      </c>
      <c r="E943" t="s">
        <v>57</v>
      </c>
      <c r="F943" t="s">
        <v>43</v>
      </c>
      <c r="G943">
        <v>2</v>
      </c>
      <c r="H943" s="4">
        <v>1.69</v>
      </c>
      <c r="I943" t="s">
        <v>19</v>
      </c>
      <c r="J943">
        <v>4</v>
      </c>
      <c r="K943">
        <v>0</v>
      </c>
      <c r="L943">
        <v>7</v>
      </c>
      <c r="M943" s="5">
        <v>4.5999999999999996</v>
      </c>
      <c r="N943" s="4">
        <f t="shared" si="14"/>
        <v>3.38</v>
      </c>
      <c r="O943">
        <f>HOUR(TIMEVALUE(RetailTransactions[[#This Row],[Time]]))</f>
        <v>19</v>
      </c>
    </row>
    <row r="944" spans="1:15">
      <c r="A944" t="s">
        <v>1161</v>
      </c>
      <c r="B944" s="3">
        <v>46250</v>
      </c>
      <c r="C944" t="s">
        <v>215</v>
      </c>
      <c r="D944" t="s">
        <v>27</v>
      </c>
      <c r="E944" t="s">
        <v>34</v>
      </c>
      <c r="F944" t="s">
        <v>24</v>
      </c>
      <c r="G944">
        <v>4</v>
      </c>
      <c r="H944" s="4">
        <v>1.27</v>
      </c>
      <c r="I944" t="s">
        <v>30</v>
      </c>
      <c r="J944">
        <v>5</v>
      </c>
      <c r="K944">
        <v>0</v>
      </c>
      <c r="L944">
        <v>8</v>
      </c>
      <c r="M944" s="5">
        <v>5.4</v>
      </c>
      <c r="N944" s="4">
        <f t="shared" si="14"/>
        <v>5.08</v>
      </c>
      <c r="O944">
        <f>HOUR(TIMEVALUE(RetailTransactions[[#This Row],[Time]]))</f>
        <v>12</v>
      </c>
    </row>
    <row r="945" spans="1:15">
      <c r="A945" t="s">
        <v>1162</v>
      </c>
      <c r="B945" s="3">
        <v>46202</v>
      </c>
      <c r="C945" t="s">
        <v>48</v>
      </c>
      <c r="D945" t="s">
        <v>33</v>
      </c>
      <c r="E945" t="s">
        <v>78</v>
      </c>
      <c r="F945" t="s">
        <v>39</v>
      </c>
      <c r="G945">
        <v>1</v>
      </c>
      <c r="H945" s="4">
        <v>1.55</v>
      </c>
      <c r="I945" t="s">
        <v>19</v>
      </c>
      <c r="J945">
        <v>35</v>
      </c>
      <c r="K945">
        <v>0</v>
      </c>
      <c r="L945">
        <v>8</v>
      </c>
      <c r="M945" s="5">
        <v>4.9000000000000004</v>
      </c>
      <c r="N945" s="4">
        <f t="shared" si="14"/>
        <v>1.55</v>
      </c>
      <c r="O945">
        <f>HOUR(TIMEVALUE(RetailTransactions[[#This Row],[Time]]))</f>
        <v>17</v>
      </c>
    </row>
    <row r="946" spans="1:15">
      <c r="A946" t="s">
        <v>1163</v>
      </c>
      <c r="B946" s="3">
        <v>46240</v>
      </c>
      <c r="C946" t="s">
        <v>382</v>
      </c>
      <c r="D946" t="s">
        <v>37</v>
      </c>
      <c r="E946" t="s">
        <v>78</v>
      </c>
      <c r="F946" t="s">
        <v>39</v>
      </c>
      <c r="G946">
        <v>1</v>
      </c>
      <c r="H946" s="4">
        <v>1.55</v>
      </c>
      <c r="I946" t="s">
        <v>19</v>
      </c>
      <c r="J946">
        <v>25</v>
      </c>
      <c r="K946">
        <v>0</v>
      </c>
      <c r="L946">
        <v>8</v>
      </c>
      <c r="M946" s="5">
        <v>6.4</v>
      </c>
      <c r="N946" s="4">
        <f t="shared" si="14"/>
        <v>1.55</v>
      </c>
      <c r="O946">
        <f>HOUR(TIMEVALUE(RetailTransactions[[#This Row],[Time]]))</f>
        <v>13</v>
      </c>
    </row>
    <row r="947" spans="1:15">
      <c r="A947" t="s">
        <v>1164</v>
      </c>
      <c r="B947" s="3">
        <v>46237</v>
      </c>
      <c r="C947" t="s">
        <v>458</v>
      </c>
      <c r="D947" t="s">
        <v>33</v>
      </c>
      <c r="E947" t="s">
        <v>125</v>
      </c>
      <c r="F947" t="s">
        <v>39</v>
      </c>
      <c r="G947">
        <v>1</v>
      </c>
      <c r="H947" s="4">
        <v>1.85</v>
      </c>
      <c r="I947" t="s">
        <v>19</v>
      </c>
      <c r="J947">
        <v>54</v>
      </c>
      <c r="K947">
        <v>0</v>
      </c>
      <c r="L947">
        <v>7</v>
      </c>
      <c r="M947" s="5">
        <v>6.1</v>
      </c>
      <c r="N947" s="4">
        <f t="shared" si="14"/>
        <v>1.85</v>
      </c>
      <c r="O947">
        <f>HOUR(TIMEVALUE(RetailTransactions[[#This Row],[Time]]))</f>
        <v>13</v>
      </c>
    </row>
    <row r="948" spans="1:15">
      <c r="A948" t="s">
        <v>1165</v>
      </c>
      <c r="B948" s="3">
        <v>46259</v>
      </c>
      <c r="C948" t="s">
        <v>110</v>
      </c>
      <c r="D948" t="s">
        <v>22</v>
      </c>
      <c r="E948" t="s">
        <v>49</v>
      </c>
      <c r="F948" t="s">
        <v>50</v>
      </c>
      <c r="G948">
        <v>2</v>
      </c>
      <c r="H948" s="4">
        <v>3.95</v>
      </c>
      <c r="I948" t="s">
        <v>19</v>
      </c>
      <c r="J948">
        <v>44</v>
      </c>
      <c r="K948">
        <v>0</v>
      </c>
      <c r="L948">
        <v>7</v>
      </c>
      <c r="M948" s="5">
        <v>5.4</v>
      </c>
      <c r="N948" s="4">
        <f t="shared" si="14"/>
        <v>7.9</v>
      </c>
      <c r="O948">
        <f>HOUR(TIMEVALUE(RetailTransactions[[#This Row],[Time]]))</f>
        <v>17</v>
      </c>
    </row>
    <row r="949" spans="1:15">
      <c r="A949" t="s">
        <v>1166</v>
      </c>
      <c r="B949" s="3">
        <v>46185</v>
      </c>
      <c r="C949" t="s">
        <v>209</v>
      </c>
      <c r="D949" t="s">
        <v>72</v>
      </c>
      <c r="E949" t="s">
        <v>85</v>
      </c>
      <c r="F949" t="s">
        <v>18</v>
      </c>
      <c r="G949">
        <v>1</v>
      </c>
      <c r="H949" s="4">
        <v>2.4900000000000002</v>
      </c>
      <c r="I949" t="s">
        <v>19</v>
      </c>
      <c r="J949">
        <v>7</v>
      </c>
      <c r="K949">
        <v>0</v>
      </c>
      <c r="L949">
        <v>7</v>
      </c>
      <c r="M949" s="5">
        <v>6.5</v>
      </c>
      <c r="N949" s="4">
        <f t="shared" si="14"/>
        <v>2.4900000000000002</v>
      </c>
      <c r="O949">
        <f>HOUR(TIMEVALUE(RetailTransactions[[#This Row],[Time]]))</f>
        <v>18</v>
      </c>
    </row>
    <row r="950" spans="1:15">
      <c r="A950" t="s">
        <v>1167</v>
      </c>
      <c r="B950" s="3">
        <v>46216</v>
      </c>
      <c r="C950" t="s">
        <v>409</v>
      </c>
      <c r="D950" t="s">
        <v>33</v>
      </c>
      <c r="E950" t="s">
        <v>60</v>
      </c>
      <c r="F950" t="s">
        <v>29</v>
      </c>
      <c r="G950">
        <v>1</v>
      </c>
      <c r="H950" s="4">
        <v>2.69</v>
      </c>
      <c r="I950" t="s">
        <v>19</v>
      </c>
      <c r="J950">
        <v>22</v>
      </c>
      <c r="K950">
        <v>0</v>
      </c>
      <c r="L950">
        <v>4</v>
      </c>
      <c r="M950" s="5">
        <v>2.9</v>
      </c>
      <c r="N950" s="4">
        <f t="shared" si="14"/>
        <v>2.69</v>
      </c>
      <c r="O950">
        <f>HOUR(TIMEVALUE(RetailTransactions[[#This Row],[Time]]))</f>
        <v>21</v>
      </c>
    </row>
    <row r="951" spans="1:15">
      <c r="A951" t="s">
        <v>1168</v>
      </c>
      <c r="B951" s="3">
        <v>46210</v>
      </c>
      <c r="C951" t="s">
        <v>327</v>
      </c>
      <c r="D951" t="s">
        <v>22</v>
      </c>
      <c r="E951" t="s">
        <v>85</v>
      </c>
      <c r="F951" t="s">
        <v>18</v>
      </c>
      <c r="G951">
        <v>1</v>
      </c>
      <c r="H951" s="4">
        <v>2.4900000000000002</v>
      </c>
      <c r="I951" t="s">
        <v>19</v>
      </c>
      <c r="J951">
        <v>35</v>
      </c>
      <c r="K951">
        <v>0</v>
      </c>
      <c r="L951">
        <v>7</v>
      </c>
      <c r="M951" s="5">
        <v>4.0999999999999996</v>
      </c>
      <c r="N951" s="4">
        <f t="shared" si="14"/>
        <v>2.4900000000000002</v>
      </c>
      <c r="O951">
        <f>HOUR(TIMEVALUE(RetailTransactions[[#This Row],[Time]]))</f>
        <v>19</v>
      </c>
    </row>
    <row r="952" spans="1:15">
      <c r="A952" t="s">
        <v>1169</v>
      </c>
      <c r="B952" s="3">
        <v>46214</v>
      </c>
      <c r="C952" t="s">
        <v>202</v>
      </c>
      <c r="D952" t="s">
        <v>66</v>
      </c>
      <c r="E952" t="s">
        <v>42</v>
      </c>
      <c r="F952" t="s">
        <v>43</v>
      </c>
      <c r="G952">
        <v>1</v>
      </c>
      <c r="H952" s="4">
        <v>1.18</v>
      </c>
      <c r="I952" t="s">
        <v>30</v>
      </c>
      <c r="J952">
        <v>18</v>
      </c>
      <c r="K952">
        <v>0</v>
      </c>
      <c r="L952">
        <v>8</v>
      </c>
      <c r="M952" s="5">
        <v>5.7</v>
      </c>
      <c r="N952" s="4">
        <f t="shared" si="14"/>
        <v>1.18</v>
      </c>
      <c r="O952">
        <f>HOUR(TIMEVALUE(RetailTransactions[[#This Row],[Time]]))</f>
        <v>13</v>
      </c>
    </row>
    <row r="953" spans="1:15">
      <c r="A953" t="s">
        <v>1170</v>
      </c>
      <c r="B953" s="3">
        <v>46177</v>
      </c>
      <c r="C953" t="s">
        <v>297</v>
      </c>
      <c r="D953" t="s">
        <v>37</v>
      </c>
      <c r="E953" t="s">
        <v>120</v>
      </c>
      <c r="F953" t="s">
        <v>50</v>
      </c>
      <c r="G953">
        <v>3</v>
      </c>
      <c r="H953" s="4">
        <v>2.25</v>
      </c>
      <c r="I953" t="s">
        <v>19</v>
      </c>
      <c r="J953">
        <v>12</v>
      </c>
      <c r="K953">
        <v>0</v>
      </c>
      <c r="L953">
        <v>6</v>
      </c>
      <c r="M953" s="5">
        <v>4.5</v>
      </c>
      <c r="N953" s="4">
        <f t="shared" si="14"/>
        <v>6.75</v>
      </c>
      <c r="O953">
        <f>HOUR(TIMEVALUE(RetailTransactions[[#This Row],[Time]]))</f>
        <v>19</v>
      </c>
    </row>
    <row r="954" spans="1:15">
      <c r="A954" t="s">
        <v>1171</v>
      </c>
      <c r="B954" s="3">
        <v>46260</v>
      </c>
      <c r="C954" t="s">
        <v>443</v>
      </c>
      <c r="D954" t="s">
        <v>16</v>
      </c>
      <c r="E954" t="s">
        <v>49</v>
      </c>
      <c r="F954" t="s">
        <v>50</v>
      </c>
      <c r="G954">
        <v>2</v>
      </c>
      <c r="H954" s="4">
        <v>3.95</v>
      </c>
      <c r="I954" t="s">
        <v>19</v>
      </c>
      <c r="J954">
        <v>7</v>
      </c>
      <c r="K954">
        <v>0</v>
      </c>
      <c r="L954">
        <v>6</v>
      </c>
      <c r="M954" s="5">
        <v>4.0999999999999996</v>
      </c>
      <c r="N954" s="4">
        <f t="shared" si="14"/>
        <v>7.9</v>
      </c>
      <c r="O954">
        <f>HOUR(TIMEVALUE(RetailTransactions[[#This Row],[Time]]))</f>
        <v>17</v>
      </c>
    </row>
    <row r="955" spans="1:15">
      <c r="A955" t="s">
        <v>1172</v>
      </c>
      <c r="B955" s="3">
        <v>46242</v>
      </c>
      <c r="C955" t="s">
        <v>956</v>
      </c>
      <c r="D955" t="s">
        <v>66</v>
      </c>
      <c r="E955" t="s">
        <v>85</v>
      </c>
      <c r="F955" t="s">
        <v>18</v>
      </c>
      <c r="G955">
        <v>1</v>
      </c>
      <c r="H955" s="4">
        <v>2.4900000000000002</v>
      </c>
      <c r="I955" t="s">
        <v>19</v>
      </c>
      <c r="J955">
        <v>24</v>
      </c>
      <c r="K955">
        <v>0</v>
      </c>
      <c r="L955">
        <v>7</v>
      </c>
      <c r="M955" s="5">
        <v>1.4</v>
      </c>
      <c r="N955" s="4">
        <f t="shared" si="14"/>
        <v>2.4900000000000002</v>
      </c>
      <c r="O955">
        <f>HOUR(TIMEVALUE(RetailTransactions[[#This Row],[Time]]))</f>
        <v>11</v>
      </c>
    </row>
    <row r="956" spans="1:15">
      <c r="A956" t="s">
        <v>1173</v>
      </c>
      <c r="B956" s="3">
        <v>46245</v>
      </c>
      <c r="C956" t="s">
        <v>189</v>
      </c>
      <c r="D956" t="s">
        <v>22</v>
      </c>
      <c r="E956" t="s">
        <v>69</v>
      </c>
      <c r="F956" t="s">
        <v>43</v>
      </c>
      <c r="G956">
        <v>2</v>
      </c>
      <c r="H956" s="4">
        <v>1.69</v>
      </c>
      <c r="I956" t="s">
        <v>30</v>
      </c>
      <c r="J956">
        <v>13</v>
      </c>
      <c r="K956">
        <v>2</v>
      </c>
      <c r="L956">
        <v>8</v>
      </c>
      <c r="M956" s="5">
        <v>5.3</v>
      </c>
      <c r="N956" s="4">
        <f t="shared" si="14"/>
        <v>3.38</v>
      </c>
      <c r="O956">
        <f>HOUR(TIMEVALUE(RetailTransactions[[#This Row],[Time]]))</f>
        <v>17</v>
      </c>
    </row>
    <row r="957" spans="1:15">
      <c r="A957" t="s">
        <v>1174</v>
      </c>
      <c r="B957" s="3">
        <v>46174</v>
      </c>
      <c r="C957" t="s">
        <v>297</v>
      </c>
      <c r="D957" t="s">
        <v>33</v>
      </c>
      <c r="E957" t="s">
        <v>17</v>
      </c>
      <c r="F957" t="s">
        <v>18</v>
      </c>
      <c r="G957">
        <v>1</v>
      </c>
      <c r="H957" s="4">
        <v>1.49</v>
      </c>
      <c r="I957" t="s">
        <v>30</v>
      </c>
      <c r="J957">
        <v>46</v>
      </c>
      <c r="K957">
        <v>0</v>
      </c>
      <c r="L957">
        <v>8</v>
      </c>
      <c r="M957" s="5">
        <v>4.5</v>
      </c>
      <c r="N957" s="4">
        <f t="shared" si="14"/>
        <v>1.49</v>
      </c>
      <c r="O957">
        <f>HOUR(TIMEVALUE(RetailTransactions[[#This Row],[Time]]))</f>
        <v>19</v>
      </c>
    </row>
    <row r="958" spans="1:15">
      <c r="A958" t="s">
        <v>1175</v>
      </c>
      <c r="B958" s="3">
        <v>46232</v>
      </c>
      <c r="C958" t="s">
        <v>132</v>
      </c>
      <c r="D958" t="s">
        <v>16</v>
      </c>
      <c r="E958" t="s">
        <v>34</v>
      </c>
      <c r="F958" t="s">
        <v>24</v>
      </c>
      <c r="G958">
        <v>1</v>
      </c>
      <c r="H958" s="4">
        <v>1.49</v>
      </c>
      <c r="I958" t="s">
        <v>19</v>
      </c>
      <c r="J958">
        <v>46</v>
      </c>
      <c r="K958">
        <v>3</v>
      </c>
      <c r="L958">
        <v>7</v>
      </c>
      <c r="M958" s="5">
        <v>6.2</v>
      </c>
      <c r="N958" s="4">
        <f t="shared" si="14"/>
        <v>1.49</v>
      </c>
      <c r="O958">
        <f>HOUR(TIMEVALUE(RetailTransactions[[#This Row],[Time]]))</f>
        <v>19</v>
      </c>
    </row>
    <row r="959" spans="1:15">
      <c r="A959" t="s">
        <v>1176</v>
      </c>
      <c r="B959" s="3">
        <v>46235</v>
      </c>
      <c r="C959" t="s">
        <v>99</v>
      </c>
      <c r="D959" t="s">
        <v>66</v>
      </c>
      <c r="E959" t="s">
        <v>38</v>
      </c>
      <c r="F959" t="s">
        <v>39</v>
      </c>
      <c r="G959">
        <v>1</v>
      </c>
      <c r="H959" s="4">
        <v>2.37</v>
      </c>
      <c r="I959" t="s">
        <v>30</v>
      </c>
      <c r="J959">
        <v>12</v>
      </c>
      <c r="K959">
        <v>0</v>
      </c>
      <c r="L959">
        <v>6</v>
      </c>
      <c r="M959" s="5">
        <v>1.1000000000000001</v>
      </c>
      <c r="N959" s="4">
        <f t="shared" si="14"/>
        <v>2.37</v>
      </c>
      <c r="O959">
        <f>HOUR(TIMEVALUE(RetailTransactions[[#This Row],[Time]]))</f>
        <v>16</v>
      </c>
    </row>
    <row r="960" spans="1:15">
      <c r="A960" t="s">
        <v>1177</v>
      </c>
      <c r="B960" s="3">
        <v>46263</v>
      </c>
      <c r="C960" t="s">
        <v>340</v>
      </c>
      <c r="D960" t="s">
        <v>66</v>
      </c>
      <c r="E960" t="s">
        <v>78</v>
      </c>
      <c r="F960" t="s">
        <v>39</v>
      </c>
      <c r="G960">
        <v>1</v>
      </c>
      <c r="H960" s="4">
        <v>1.32</v>
      </c>
      <c r="I960" t="s">
        <v>30</v>
      </c>
      <c r="J960">
        <v>57</v>
      </c>
      <c r="K960">
        <v>0</v>
      </c>
      <c r="L960">
        <v>6</v>
      </c>
      <c r="M960" s="5">
        <v>6.3</v>
      </c>
      <c r="N960" s="4">
        <f t="shared" si="14"/>
        <v>1.32</v>
      </c>
      <c r="O960">
        <f>HOUR(TIMEVALUE(RetailTransactions[[#This Row],[Time]]))</f>
        <v>19</v>
      </c>
    </row>
    <row r="961" spans="1:15">
      <c r="A961" t="s">
        <v>1178</v>
      </c>
      <c r="B961" s="3">
        <v>46212</v>
      </c>
      <c r="C961" t="s">
        <v>443</v>
      </c>
      <c r="D961" t="s">
        <v>37</v>
      </c>
      <c r="E961" t="s">
        <v>63</v>
      </c>
      <c r="F961" t="s">
        <v>50</v>
      </c>
      <c r="G961">
        <v>1</v>
      </c>
      <c r="H961" s="4">
        <v>3.49</v>
      </c>
      <c r="I961" t="s">
        <v>19</v>
      </c>
      <c r="J961">
        <v>47</v>
      </c>
      <c r="K961">
        <v>0</v>
      </c>
      <c r="L961">
        <v>7</v>
      </c>
      <c r="M961" s="5">
        <v>4.0999999999999996</v>
      </c>
      <c r="N961" s="4">
        <f t="shared" si="14"/>
        <v>3.49</v>
      </c>
      <c r="O961">
        <f>HOUR(TIMEVALUE(RetailTransactions[[#This Row],[Time]]))</f>
        <v>17</v>
      </c>
    </row>
    <row r="962" spans="1:15">
      <c r="A962" t="s">
        <v>1179</v>
      </c>
      <c r="B962" s="3">
        <v>46256</v>
      </c>
      <c r="C962" t="s">
        <v>93</v>
      </c>
      <c r="D962" t="s">
        <v>66</v>
      </c>
      <c r="E962" t="s">
        <v>57</v>
      </c>
      <c r="F962" t="s">
        <v>43</v>
      </c>
      <c r="G962">
        <v>3</v>
      </c>
      <c r="H962" s="4">
        <v>1.69</v>
      </c>
      <c r="I962" t="s">
        <v>19</v>
      </c>
      <c r="J962">
        <v>47</v>
      </c>
      <c r="K962">
        <v>0</v>
      </c>
      <c r="L962">
        <v>8</v>
      </c>
      <c r="M962" s="5">
        <v>4.8</v>
      </c>
      <c r="N962" s="4">
        <f t="shared" ref="N962:N1001" si="15">G962*H962</f>
        <v>5.07</v>
      </c>
      <c r="O962">
        <f>HOUR(TIMEVALUE(RetailTransactions[[#This Row],[Time]]))</f>
        <v>12</v>
      </c>
    </row>
    <row r="963" spans="1:15">
      <c r="A963" t="s">
        <v>1180</v>
      </c>
      <c r="B963" s="3">
        <v>46215</v>
      </c>
      <c r="C963" t="s">
        <v>327</v>
      </c>
      <c r="D963" t="s">
        <v>27</v>
      </c>
      <c r="E963" t="s">
        <v>69</v>
      </c>
      <c r="F963" t="s">
        <v>43</v>
      </c>
      <c r="G963">
        <v>1</v>
      </c>
      <c r="H963" s="4">
        <v>1.99</v>
      </c>
      <c r="I963" t="s">
        <v>19</v>
      </c>
      <c r="J963">
        <v>14</v>
      </c>
      <c r="K963">
        <v>0</v>
      </c>
      <c r="L963">
        <v>6</v>
      </c>
      <c r="M963" s="5">
        <v>4.2</v>
      </c>
      <c r="N963" s="4">
        <f t="shared" si="15"/>
        <v>1.99</v>
      </c>
      <c r="O963">
        <f>HOUR(TIMEVALUE(RetailTransactions[[#This Row],[Time]]))</f>
        <v>19</v>
      </c>
    </row>
    <row r="964" spans="1:15">
      <c r="A964" t="s">
        <v>1181</v>
      </c>
      <c r="B964" s="3">
        <v>46183</v>
      </c>
      <c r="C964" t="s">
        <v>207</v>
      </c>
      <c r="D964" t="s">
        <v>16</v>
      </c>
      <c r="E964" t="s">
        <v>69</v>
      </c>
      <c r="F964" t="s">
        <v>43</v>
      </c>
      <c r="G964">
        <v>1</v>
      </c>
      <c r="H964" s="4">
        <v>1.99</v>
      </c>
      <c r="I964" t="s">
        <v>19</v>
      </c>
      <c r="J964">
        <v>14</v>
      </c>
      <c r="K964">
        <v>0</v>
      </c>
      <c r="L964">
        <v>7</v>
      </c>
      <c r="M964" s="5">
        <v>2.5</v>
      </c>
      <c r="N964" s="4">
        <f t="shared" si="15"/>
        <v>1.99</v>
      </c>
      <c r="O964">
        <f>HOUR(TIMEVALUE(RetailTransactions[[#This Row],[Time]]))</f>
        <v>16</v>
      </c>
    </row>
    <row r="965" spans="1:15">
      <c r="A965" t="s">
        <v>1182</v>
      </c>
      <c r="B965" s="3">
        <v>46232</v>
      </c>
      <c r="C965" t="s">
        <v>161</v>
      </c>
      <c r="D965" t="s">
        <v>16</v>
      </c>
      <c r="E965" t="s">
        <v>28</v>
      </c>
      <c r="F965" t="s">
        <v>29</v>
      </c>
      <c r="G965">
        <v>1</v>
      </c>
      <c r="H965" s="4">
        <v>3.29</v>
      </c>
      <c r="I965" t="s">
        <v>19</v>
      </c>
      <c r="J965">
        <v>15</v>
      </c>
      <c r="K965">
        <v>0</v>
      </c>
      <c r="L965">
        <v>8</v>
      </c>
      <c r="M965" s="5">
        <v>6.3</v>
      </c>
      <c r="N965" s="4">
        <f t="shared" si="15"/>
        <v>3.29</v>
      </c>
      <c r="O965">
        <f>HOUR(TIMEVALUE(RetailTransactions[[#This Row],[Time]]))</f>
        <v>19</v>
      </c>
    </row>
    <row r="966" spans="1:15">
      <c r="A966" t="s">
        <v>1183</v>
      </c>
      <c r="B966" s="3">
        <v>46194</v>
      </c>
      <c r="C966" t="s">
        <v>247</v>
      </c>
      <c r="D966" t="s">
        <v>27</v>
      </c>
      <c r="E966" t="s">
        <v>106</v>
      </c>
      <c r="F966" t="s">
        <v>18</v>
      </c>
      <c r="G966">
        <v>1</v>
      </c>
      <c r="H966" s="4">
        <v>1.89</v>
      </c>
      <c r="I966" t="s">
        <v>19</v>
      </c>
      <c r="J966">
        <v>21</v>
      </c>
      <c r="K966">
        <v>0</v>
      </c>
      <c r="L966">
        <v>9</v>
      </c>
      <c r="M966" s="5">
        <v>3.9</v>
      </c>
      <c r="N966" s="4">
        <f t="shared" si="15"/>
        <v>1.89</v>
      </c>
      <c r="O966">
        <f>HOUR(TIMEVALUE(RetailTransactions[[#This Row],[Time]]))</f>
        <v>17</v>
      </c>
    </row>
    <row r="967" spans="1:15">
      <c r="A967" t="s">
        <v>1184</v>
      </c>
      <c r="B967" s="3">
        <v>46252</v>
      </c>
      <c r="C967" t="s">
        <v>112</v>
      </c>
      <c r="D967" t="s">
        <v>22</v>
      </c>
      <c r="E967" t="s">
        <v>23</v>
      </c>
      <c r="F967" t="s">
        <v>24</v>
      </c>
      <c r="G967">
        <v>1</v>
      </c>
      <c r="H967" s="4">
        <v>0.95</v>
      </c>
      <c r="I967" t="s">
        <v>19</v>
      </c>
      <c r="J967">
        <v>36</v>
      </c>
      <c r="K967">
        <v>0</v>
      </c>
      <c r="L967">
        <v>5</v>
      </c>
      <c r="M967" s="5">
        <v>3.3</v>
      </c>
      <c r="N967" s="4">
        <f t="shared" si="15"/>
        <v>0.95</v>
      </c>
      <c r="O967">
        <f>HOUR(TIMEVALUE(RetailTransactions[[#This Row],[Time]]))</f>
        <v>20</v>
      </c>
    </row>
    <row r="968" spans="1:15">
      <c r="A968" t="s">
        <v>1185</v>
      </c>
      <c r="B968" s="3">
        <v>46228</v>
      </c>
      <c r="C968" t="s">
        <v>170</v>
      </c>
      <c r="D968" t="s">
        <v>66</v>
      </c>
      <c r="E968" t="s">
        <v>23</v>
      </c>
      <c r="F968" t="s">
        <v>24</v>
      </c>
      <c r="G968">
        <v>2</v>
      </c>
      <c r="H968" s="4">
        <v>0.95</v>
      </c>
      <c r="I968" t="s">
        <v>19</v>
      </c>
      <c r="J968">
        <v>27</v>
      </c>
      <c r="K968">
        <v>1</v>
      </c>
      <c r="L968">
        <v>7</v>
      </c>
      <c r="M968" s="5">
        <v>4.4000000000000004</v>
      </c>
      <c r="N968" s="4">
        <f t="shared" si="15"/>
        <v>1.9</v>
      </c>
      <c r="O968">
        <f>HOUR(TIMEVALUE(RetailTransactions[[#This Row],[Time]]))</f>
        <v>13</v>
      </c>
    </row>
    <row r="969" spans="1:15">
      <c r="A969" t="s">
        <v>1186</v>
      </c>
      <c r="B969" s="3">
        <v>46259</v>
      </c>
      <c r="C969" t="s">
        <v>388</v>
      </c>
      <c r="D969" t="s">
        <v>22</v>
      </c>
      <c r="E969" t="s">
        <v>63</v>
      </c>
      <c r="F969" t="s">
        <v>50</v>
      </c>
      <c r="G969">
        <v>1</v>
      </c>
      <c r="H969" s="4">
        <v>2.97</v>
      </c>
      <c r="I969" t="s">
        <v>30</v>
      </c>
      <c r="J969">
        <v>8</v>
      </c>
      <c r="K969">
        <v>0</v>
      </c>
      <c r="L969">
        <v>9</v>
      </c>
      <c r="M969" s="5">
        <v>2.7</v>
      </c>
      <c r="N969" s="4">
        <f t="shared" si="15"/>
        <v>2.97</v>
      </c>
      <c r="O969">
        <f>HOUR(TIMEVALUE(RetailTransactions[[#This Row],[Time]]))</f>
        <v>18</v>
      </c>
    </row>
    <row r="970" spans="1:15">
      <c r="A970" t="s">
        <v>1187</v>
      </c>
      <c r="B970" s="3">
        <v>46257</v>
      </c>
      <c r="C970" t="s">
        <v>247</v>
      </c>
      <c r="D970" t="s">
        <v>27</v>
      </c>
      <c r="E970" t="s">
        <v>85</v>
      </c>
      <c r="F970" t="s">
        <v>18</v>
      </c>
      <c r="G970">
        <v>1</v>
      </c>
      <c r="H970" s="4">
        <v>2.12</v>
      </c>
      <c r="I970" t="s">
        <v>30</v>
      </c>
      <c r="J970">
        <v>39</v>
      </c>
      <c r="K970">
        <v>0</v>
      </c>
      <c r="L970">
        <v>8</v>
      </c>
      <c r="M970" s="5">
        <v>3.6</v>
      </c>
      <c r="N970" s="4">
        <f t="shared" si="15"/>
        <v>2.12</v>
      </c>
      <c r="O970">
        <f>HOUR(TIMEVALUE(RetailTransactions[[#This Row],[Time]]))</f>
        <v>17</v>
      </c>
    </row>
    <row r="971" spans="1:15">
      <c r="A971" t="s">
        <v>1188</v>
      </c>
      <c r="B971" s="3">
        <v>46227</v>
      </c>
      <c r="C971" t="s">
        <v>99</v>
      </c>
      <c r="D971" t="s">
        <v>72</v>
      </c>
      <c r="E971" t="s">
        <v>106</v>
      </c>
      <c r="F971" t="s">
        <v>18</v>
      </c>
      <c r="G971">
        <v>2</v>
      </c>
      <c r="H971" s="4">
        <v>1.89</v>
      </c>
      <c r="I971" t="s">
        <v>19</v>
      </c>
      <c r="J971">
        <v>44</v>
      </c>
      <c r="K971">
        <v>0</v>
      </c>
      <c r="L971">
        <v>7</v>
      </c>
      <c r="M971" s="5">
        <v>2.1</v>
      </c>
      <c r="N971" s="4">
        <f t="shared" si="15"/>
        <v>3.78</v>
      </c>
      <c r="O971">
        <f>HOUR(TIMEVALUE(RetailTransactions[[#This Row],[Time]]))</f>
        <v>16</v>
      </c>
    </row>
    <row r="972" spans="1:15">
      <c r="A972" t="s">
        <v>1189</v>
      </c>
      <c r="B972" s="3">
        <v>46215</v>
      </c>
      <c r="C972" t="s">
        <v>467</v>
      </c>
      <c r="D972" t="s">
        <v>27</v>
      </c>
      <c r="E972" t="s">
        <v>85</v>
      </c>
      <c r="F972" t="s">
        <v>18</v>
      </c>
      <c r="G972">
        <v>2</v>
      </c>
      <c r="H972" s="4">
        <v>2.12</v>
      </c>
      <c r="I972" t="s">
        <v>30</v>
      </c>
      <c r="J972">
        <v>59</v>
      </c>
      <c r="K972">
        <v>0</v>
      </c>
      <c r="L972">
        <v>8</v>
      </c>
      <c r="M972" s="5">
        <v>5.3</v>
      </c>
      <c r="N972" s="4">
        <f t="shared" si="15"/>
        <v>4.24</v>
      </c>
      <c r="O972">
        <f>HOUR(TIMEVALUE(RetailTransactions[[#This Row],[Time]]))</f>
        <v>12</v>
      </c>
    </row>
    <row r="973" spans="1:15">
      <c r="A973" t="s">
        <v>1190</v>
      </c>
      <c r="B973" s="3">
        <v>46237</v>
      </c>
      <c r="C973" t="s">
        <v>209</v>
      </c>
      <c r="D973" t="s">
        <v>33</v>
      </c>
      <c r="E973" t="s">
        <v>23</v>
      </c>
      <c r="F973" t="s">
        <v>24</v>
      </c>
      <c r="G973">
        <v>1</v>
      </c>
      <c r="H973" s="4">
        <v>0.95</v>
      </c>
      <c r="I973" t="s">
        <v>19</v>
      </c>
      <c r="J973">
        <v>41</v>
      </c>
      <c r="K973">
        <v>3</v>
      </c>
      <c r="L973">
        <v>9</v>
      </c>
      <c r="M973" s="5">
        <v>2.8</v>
      </c>
      <c r="N973" s="4">
        <f t="shared" si="15"/>
        <v>0.95</v>
      </c>
      <c r="O973">
        <f>HOUR(TIMEVALUE(RetailTransactions[[#This Row],[Time]]))</f>
        <v>18</v>
      </c>
    </row>
    <row r="974" spans="1:15">
      <c r="A974" t="s">
        <v>1191</v>
      </c>
      <c r="B974" s="3">
        <v>46237</v>
      </c>
      <c r="C974" t="s">
        <v>130</v>
      </c>
      <c r="D974" t="s">
        <v>33</v>
      </c>
      <c r="E974" t="s">
        <v>69</v>
      </c>
      <c r="F974" t="s">
        <v>43</v>
      </c>
      <c r="G974">
        <v>1</v>
      </c>
      <c r="H974" s="4">
        <v>1.99</v>
      </c>
      <c r="I974" t="s">
        <v>19</v>
      </c>
      <c r="J974">
        <v>41</v>
      </c>
      <c r="K974">
        <v>0</v>
      </c>
      <c r="L974">
        <v>7</v>
      </c>
      <c r="M974" s="5">
        <v>3.4</v>
      </c>
      <c r="N974" s="4">
        <f t="shared" si="15"/>
        <v>1.99</v>
      </c>
      <c r="O974">
        <f>HOUR(TIMEVALUE(RetailTransactions[[#This Row],[Time]]))</f>
        <v>19</v>
      </c>
    </row>
    <row r="975" spans="1:15">
      <c r="A975" t="s">
        <v>1192</v>
      </c>
      <c r="B975" s="3">
        <v>46249</v>
      </c>
      <c r="C975" t="s">
        <v>124</v>
      </c>
      <c r="D975" t="s">
        <v>66</v>
      </c>
      <c r="E975" t="s">
        <v>23</v>
      </c>
      <c r="F975" t="s">
        <v>24</v>
      </c>
      <c r="G975">
        <v>1</v>
      </c>
      <c r="H975" s="4">
        <v>0.95</v>
      </c>
      <c r="I975" t="s">
        <v>19</v>
      </c>
      <c r="J975">
        <v>32</v>
      </c>
      <c r="K975">
        <v>0</v>
      </c>
      <c r="L975">
        <v>7</v>
      </c>
      <c r="M975" s="5">
        <v>4.5</v>
      </c>
      <c r="N975" s="4">
        <f t="shared" si="15"/>
        <v>0.95</v>
      </c>
      <c r="O975">
        <f>HOUR(TIMEVALUE(RetailTransactions[[#This Row],[Time]]))</f>
        <v>18</v>
      </c>
    </row>
    <row r="976" spans="1:15">
      <c r="A976" t="s">
        <v>1193</v>
      </c>
      <c r="B976" s="3">
        <v>46201</v>
      </c>
      <c r="C976" t="s">
        <v>130</v>
      </c>
      <c r="D976" t="s">
        <v>27</v>
      </c>
      <c r="E976" t="s">
        <v>23</v>
      </c>
      <c r="F976" t="s">
        <v>24</v>
      </c>
      <c r="G976">
        <v>3</v>
      </c>
      <c r="H976" s="4">
        <v>0.95</v>
      </c>
      <c r="I976" t="s">
        <v>19</v>
      </c>
      <c r="J976">
        <v>55</v>
      </c>
      <c r="K976">
        <v>0</v>
      </c>
      <c r="L976">
        <v>6</v>
      </c>
      <c r="M976" s="5">
        <v>5.0999999999999996</v>
      </c>
      <c r="N976" s="4">
        <f t="shared" si="15"/>
        <v>2.8499999999999996</v>
      </c>
      <c r="O976">
        <f>HOUR(TIMEVALUE(RetailTransactions[[#This Row],[Time]]))</f>
        <v>19</v>
      </c>
    </row>
    <row r="977" spans="1:15">
      <c r="A977" t="s">
        <v>1194</v>
      </c>
      <c r="B977" s="3">
        <v>46206</v>
      </c>
      <c r="C977" t="s">
        <v>267</v>
      </c>
      <c r="D977" t="s">
        <v>72</v>
      </c>
      <c r="E977" t="s">
        <v>57</v>
      </c>
      <c r="F977" t="s">
        <v>43</v>
      </c>
      <c r="G977">
        <v>3</v>
      </c>
      <c r="H977" s="4">
        <v>1.69</v>
      </c>
      <c r="I977" t="s">
        <v>19</v>
      </c>
      <c r="J977">
        <v>37</v>
      </c>
      <c r="K977">
        <v>0</v>
      </c>
      <c r="L977">
        <v>9</v>
      </c>
      <c r="M977" s="5">
        <v>5.2</v>
      </c>
      <c r="N977" s="4">
        <f t="shared" si="15"/>
        <v>5.07</v>
      </c>
      <c r="O977">
        <f>HOUR(TIMEVALUE(RetailTransactions[[#This Row],[Time]]))</f>
        <v>13</v>
      </c>
    </row>
    <row r="978" spans="1:15">
      <c r="A978" t="s">
        <v>1195</v>
      </c>
      <c r="B978" s="3">
        <v>46239</v>
      </c>
      <c r="C978" t="s">
        <v>247</v>
      </c>
      <c r="D978" t="s">
        <v>16</v>
      </c>
      <c r="E978" t="s">
        <v>78</v>
      </c>
      <c r="F978" t="s">
        <v>39</v>
      </c>
      <c r="G978">
        <v>3</v>
      </c>
      <c r="H978" s="4">
        <v>1.55</v>
      </c>
      <c r="I978" t="s">
        <v>19</v>
      </c>
      <c r="J978">
        <v>10</v>
      </c>
      <c r="K978">
        <v>0</v>
      </c>
      <c r="L978">
        <v>9</v>
      </c>
      <c r="M978" s="5">
        <v>4.2</v>
      </c>
      <c r="N978" s="4">
        <f t="shared" si="15"/>
        <v>4.6500000000000004</v>
      </c>
      <c r="O978">
        <f>HOUR(TIMEVALUE(RetailTransactions[[#This Row],[Time]]))</f>
        <v>17</v>
      </c>
    </row>
    <row r="979" spans="1:15">
      <c r="A979" t="s">
        <v>1196</v>
      </c>
      <c r="B979" s="3">
        <v>46175</v>
      </c>
      <c r="C979" t="s">
        <v>26</v>
      </c>
      <c r="D979" t="s">
        <v>22</v>
      </c>
      <c r="E979" t="s">
        <v>49</v>
      </c>
      <c r="F979" t="s">
        <v>50</v>
      </c>
      <c r="G979">
        <v>1</v>
      </c>
      <c r="H979" s="4">
        <v>3.36</v>
      </c>
      <c r="I979" t="s">
        <v>30</v>
      </c>
      <c r="J979">
        <v>57</v>
      </c>
      <c r="K979">
        <v>1</v>
      </c>
      <c r="L979">
        <v>6</v>
      </c>
      <c r="M979" s="5">
        <v>6.3</v>
      </c>
      <c r="N979" s="4">
        <f t="shared" si="15"/>
        <v>3.36</v>
      </c>
      <c r="O979">
        <f>HOUR(TIMEVALUE(RetailTransactions[[#This Row],[Time]]))</f>
        <v>13</v>
      </c>
    </row>
    <row r="980" spans="1:15">
      <c r="A980" t="s">
        <v>1197</v>
      </c>
      <c r="B980" s="3">
        <v>46242</v>
      </c>
      <c r="C980" t="s">
        <v>355</v>
      </c>
      <c r="D980" t="s">
        <v>66</v>
      </c>
      <c r="E980" t="s">
        <v>34</v>
      </c>
      <c r="F980" t="s">
        <v>24</v>
      </c>
      <c r="G980">
        <v>1</v>
      </c>
      <c r="H980" s="4">
        <v>1.27</v>
      </c>
      <c r="I980" t="s">
        <v>30</v>
      </c>
      <c r="J980">
        <v>17</v>
      </c>
      <c r="K980">
        <v>0</v>
      </c>
      <c r="L980">
        <v>8</v>
      </c>
      <c r="M980" s="5">
        <v>5.5</v>
      </c>
      <c r="N980" s="4">
        <f t="shared" si="15"/>
        <v>1.27</v>
      </c>
      <c r="O980">
        <f>HOUR(TIMEVALUE(RetailTransactions[[#This Row],[Time]]))</f>
        <v>19</v>
      </c>
    </row>
    <row r="981" spans="1:15">
      <c r="A981" t="s">
        <v>1198</v>
      </c>
      <c r="B981" s="3">
        <v>46213</v>
      </c>
      <c r="C981" t="s">
        <v>186</v>
      </c>
      <c r="D981" t="s">
        <v>72</v>
      </c>
      <c r="E981" t="s">
        <v>28</v>
      </c>
      <c r="F981" t="s">
        <v>29</v>
      </c>
      <c r="G981">
        <v>1</v>
      </c>
      <c r="H981" s="4">
        <v>3.29</v>
      </c>
      <c r="I981" t="s">
        <v>19</v>
      </c>
      <c r="J981">
        <v>31</v>
      </c>
      <c r="K981">
        <v>0</v>
      </c>
      <c r="L981">
        <v>6</v>
      </c>
      <c r="M981" s="5">
        <v>3.3</v>
      </c>
      <c r="N981" s="4">
        <f t="shared" si="15"/>
        <v>3.29</v>
      </c>
      <c r="O981">
        <f>HOUR(TIMEVALUE(RetailTransactions[[#This Row],[Time]]))</f>
        <v>18</v>
      </c>
    </row>
    <row r="982" spans="1:15">
      <c r="A982" t="s">
        <v>1199</v>
      </c>
      <c r="B982" s="3">
        <v>46260</v>
      </c>
      <c r="C982" t="s">
        <v>117</v>
      </c>
      <c r="D982" t="s">
        <v>16</v>
      </c>
      <c r="E982" t="s">
        <v>57</v>
      </c>
      <c r="F982" t="s">
        <v>43</v>
      </c>
      <c r="G982">
        <v>1</v>
      </c>
      <c r="H982" s="4">
        <v>1.69</v>
      </c>
      <c r="I982" t="s">
        <v>19</v>
      </c>
      <c r="J982">
        <v>13</v>
      </c>
      <c r="K982">
        <v>0</v>
      </c>
      <c r="L982">
        <v>6</v>
      </c>
      <c r="M982" s="5">
        <v>3.8</v>
      </c>
      <c r="N982" s="4">
        <f t="shared" si="15"/>
        <v>1.69</v>
      </c>
      <c r="O982">
        <f>HOUR(TIMEVALUE(RetailTransactions[[#This Row],[Time]]))</f>
        <v>18</v>
      </c>
    </row>
    <row r="983" spans="1:15">
      <c r="A983" t="s">
        <v>1200</v>
      </c>
      <c r="B983" s="3">
        <v>46261</v>
      </c>
      <c r="C983" t="s">
        <v>519</v>
      </c>
      <c r="D983" t="s">
        <v>37</v>
      </c>
      <c r="E983" t="s">
        <v>115</v>
      </c>
      <c r="F983" t="s">
        <v>29</v>
      </c>
      <c r="G983">
        <v>1</v>
      </c>
      <c r="H983" s="4">
        <v>3.39</v>
      </c>
      <c r="I983" t="s">
        <v>30</v>
      </c>
      <c r="J983">
        <v>11</v>
      </c>
      <c r="K983">
        <v>0</v>
      </c>
      <c r="L983">
        <v>9</v>
      </c>
      <c r="M983" s="5">
        <v>6.3</v>
      </c>
      <c r="N983" s="4">
        <f t="shared" si="15"/>
        <v>3.39</v>
      </c>
      <c r="O983">
        <f>HOUR(TIMEVALUE(RetailTransactions[[#This Row],[Time]]))</f>
        <v>13</v>
      </c>
    </row>
    <row r="984" spans="1:15">
      <c r="A984" t="s">
        <v>1201</v>
      </c>
      <c r="B984" s="3">
        <v>46238</v>
      </c>
      <c r="C984" t="s">
        <v>314</v>
      </c>
      <c r="D984" t="s">
        <v>22</v>
      </c>
      <c r="E984" t="s">
        <v>38</v>
      </c>
      <c r="F984" t="s">
        <v>39</v>
      </c>
      <c r="G984">
        <v>2</v>
      </c>
      <c r="H984" s="4">
        <v>2.37</v>
      </c>
      <c r="I984" t="s">
        <v>30</v>
      </c>
      <c r="J984">
        <v>16</v>
      </c>
      <c r="K984">
        <v>0</v>
      </c>
      <c r="L984">
        <v>6</v>
      </c>
      <c r="M984" s="5">
        <v>2.7</v>
      </c>
      <c r="N984" s="4">
        <f t="shared" si="15"/>
        <v>4.74</v>
      </c>
      <c r="O984">
        <f>HOUR(TIMEVALUE(RetailTransactions[[#This Row],[Time]]))</f>
        <v>14</v>
      </c>
    </row>
    <row r="985" spans="1:15">
      <c r="A985" t="s">
        <v>1202</v>
      </c>
      <c r="B985" s="3">
        <v>46226</v>
      </c>
      <c r="C985" t="s">
        <v>458</v>
      </c>
      <c r="D985" t="s">
        <v>37</v>
      </c>
      <c r="E985" t="s">
        <v>57</v>
      </c>
      <c r="F985" t="s">
        <v>43</v>
      </c>
      <c r="G985">
        <v>1</v>
      </c>
      <c r="H985" s="4">
        <v>1.69</v>
      </c>
      <c r="I985" t="s">
        <v>19</v>
      </c>
      <c r="J985">
        <v>47</v>
      </c>
      <c r="K985">
        <v>0</v>
      </c>
      <c r="L985">
        <v>6</v>
      </c>
      <c r="M985" s="5">
        <v>3.3</v>
      </c>
      <c r="N985" s="4">
        <f t="shared" si="15"/>
        <v>1.69</v>
      </c>
      <c r="O985">
        <f>HOUR(TIMEVALUE(RetailTransactions[[#This Row],[Time]]))</f>
        <v>13</v>
      </c>
    </row>
    <row r="986" spans="1:15">
      <c r="A986" t="s">
        <v>1203</v>
      </c>
      <c r="B986" s="3">
        <v>46242</v>
      </c>
      <c r="C986" t="s">
        <v>232</v>
      </c>
      <c r="D986" t="s">
        <v>66</v>
      </c>
      <c r="E986" t="s">
        <v>49</v>
      </c>
      <c r="F986" t="s">
        <v>50</v>
      </c>
      <c r="G986">
        <v>1</v>
      </c>
      <c r="H986" s="4">
        <v>3.95</v>
      </c>
      <c r="I986" t="s">
        <v>19</v>
      </c>
      <c r="J986">
        <v>51</v>
      </c>
      <c r="K986">
        <v>0</v>
      </c>
      <c r="L986">
        <v>8</v>
      </c>
      <c r="M986" s="5">
        <v>5.4</v>
      </c>
      <c r="N986" s="4">
        <f t="shared" si="15"/>
        <v>3.95</v>
      </c>
      <c r="O986">
        <f>HOUR(TIMEVALUE(RetailTransactions[[#This Row],[Time]]))</f>
        <v>19</v>
      </c>
    </row>
    <row r="987" spans="1:15">
      <c r="A987" t="s">
        <v>1204</v>
      </c>
      <c r="B987" s="3">
        <v>46250</v>
      </c>
      <c r="C987" t="s">
        <v>401</v>
      </c>
      <c r="D987" t="s">
        <v>27</v>
      </c>
      <c r="E987" t="s">
        <v>115</v>
      </c>
      <c r="F987" t="s">
        <v>29</v>
      </c>
      <c r="G987">
        <v>4</v>
      </c>
      <c r="H987" s="4">
        <v>3.99</v>
      </c>
      <c r="I987" t="s">
        <v>19</v>
      </c>
      <c r="J987">
        <v>45</v>
      </c>
      <c r="K987">
        <v>1</v>
      </c>
      <c r="L987">
        <v>5</v>
      </c>
      <c r="M987" s="5">
        <v>3.5</v>
      </c>
      <c r="N987" s="4">
        <f t="shared" si="15"/>
        <v>15.96</v>
      </c>
      <c r="O987">
        <f>HOUR(TIMEVALUE(RetailTransactions[[#This Row],[Time]]))</f>
        <v>8</v>
      </c>
    </row>
    <row r="988" spans="1:15">
      <c r="A988" t="s">
        <v>1205</v>
      </c>
      <c r="B988" s="3">
        <v>46208</v>
      </c>
      <c r="C988" t="s">
        <v>48</v>
      </c>
      <c r="D988" t="s">
        <v>27</v>
      </c>
      <c r="E988" t="s">
        <v>57</v>
      </c>
      <c r="F988" t="s">
        <v>43</v>
      </c>
      <c r="G988">
        <v>2</v>
      </c>
      <c r="H988" s="4">
        <v>1.69</v>
      </c>
      <c r="I988" t="s">
        <v>19</v>
      </c>
      <c r="J988">
        <v>40</v>
      </c>
      <c r="K988">
        <v>0</v>
      </c>
      <c r="L988">
        <v>8</v>
      </c>
      <c r="M988" s="5">
        <v>4.8</v>
      </c>
      <c r="N988" s="4">
        <f t="shared" si="15"/>
        <v>3.38</v>
      </c>
      <c r="O988">
        <f>HOUR(TIMEVALUE(RetailTransactions[[#This Row],[Time]]))</f>
        <v>17</v>
      </c>
    </row>
    <row r="989" spans="1:15">
      <c r="A989" t="s">
        <v>1206</v>
      </c>
      <c r="B989" s="3">
        <v>46179</v>
      </c>
      <c r="C989" t="s">
        <v>335</v>
      </c>
      <c r="D989" t="s">
        <v>66</v>
      </c>
      <c r="E989" t="s">
        <v>60</v>
      </c>
      <c r="F989" t="s">
        <v>29</v>
      </c>
      <c r="G989">
        <v>2</v>
      </c>
      <c r="H989" s="4">
        <v>2.29</v>
      </c>
      <c r="I989" t="s">
        <v>30</v>
      </c>
      <c r="J989">
        <v>56</v>
      </c>
      <c r="K989">
        <v>0</v>
      </c>
      <c r="L989">
        <v>9</v>
      </c>
      <c r="M989" s="5">
        <v>5.0999999999999996</v>
      </c>
      <c r="N989" s="4">
        <f t="shared" si="15"/>
        <v>4.58</v>
      </c>
      <c r="O989">
        <f>HOUR(TIMEVALUE(RetailTransactions[[#This Row],[Time]]))</f>
        <v>18</v>
      </c>
    </row>
    <row r="990" spans="1:15">
      <c r="A990" t="s">
        <v>1207</v>
      </c>
      <c r="B990" s="3">
        <v>46188</v>
      </c>
      <c r="C990" t="s">
        <v>519</v>
      </c>
      <c r="D990" t="s">
        <v>33</v>
      </c>
      <c r="E990" t="s">
        <v>38</v>
      </c>
      <c r="F990" t="s">
        <v>39</v>
      </c>
      <c r="G990">
        <v>1</v>
      </c>
      <c r="H990" s="4">
        <v>2.79</v>
      </c>
      <c r="I990" t="s">
        <v>19</v>
      </c>
      <c r="J990">
        <v>47</v>
      </c>
      <c r="K990">
        <v>0</v>
      </c>
      <c r="L990">
        <v>6</v>
      </c>
      <c r="M990" s="5">
        <v>3.7</v>
      </c>
      <c r="N990" s="4">
        <f t="shared" si="15"/>
        <v>2.79</v>
      </c>
      <c r="O990">
        <f>HOUR(TIMEVALUE(RetailTransactions[[#This Row],[Time]]))</f>
        <v>13</v>
      </c>
    </row>
    <row r="991" spans="1:15">
      <c r="A991" t="s">
        <v>1208</v>
      </c>
      <c r="B991" s="3">
        <v>46245</v>
      </c>
      <c r="C991" t="s">
        <v>224</v>
      </c>
      <c r="D991" t="s">
        <v>22</v>
      </c>
      <c r="E991" t="s">
        <v>115</v>
      </c>
      <c r="F991" t="s">
        <v>29</v>
      </c>
      <c r="G991">
        <v>1</v>
      </c>
      <c r="H991" s="4">
        <v>3.99</v>
      </c>
      <c r="I991" t="s">
        <v>19</v>
      </c>
      <c r="J991">
        <v>17</v>
      </c>
      <c r="K991">
        <v>0</v>
      </c>
      <c r="L991">
        <v>8</v>
      </c>
      <c r="M991" s="5">
        <v>4</v>
      </c>
      <c r="N991" s="4">
        <f t="shared" si="15"/>
        <v>3.99</v>
      </c>
      <c r="O991">
        <f>HOUR(TIMEVALUE(RetailTransactions[[#This Row],[Time]]))</f>
        <v>19</v>
      </c>
    </row>
    <row r="992" spans="1:15">
      <c r="A992" t="s">
        <v>1209</v>
      </c>
      <c r="B992" s="3">
        <v>46219</v>
      </c>
      <c r="C992" t="s">
        <v>347</v>
      </c>
      <c r="D992" t="s">
        <v>37</v>
      </c>
      <c r="E992" t="s">
        <v>34</v>
      </c>
      <c r="F992" t="s">
        <v>24</v>
      </c>
      <c r="G992">
        <v>1</v>
      </c>
      <c r="H992" s="4">
        <v>1.49</v>
      </c>
      <c r="I992" t="s">
        <v>19</v>
      </c>
      <c r="J992">
        <v>7</v>
      </c>
      <c r="K992">
        <v>0</v>
      </c>
      <c r="L992">
        <v>6</v>
      </c>
      <c r="M992" s="5">
        <v>3.6</v>
      </c>
      <c r="N992" s="4">
        <f t="shared" si="15"/>
        <v>1.49</v>
      </c>
      <c r="O992">
        <f>HOUR(TIMEVALUE(RetailTransactions[[#This Row],[Time]]))</f>
        <v>12</v>
      </c>
    </row>
    <row r="993" spans="1:15">
      <c r="A993" t="s">
        <v>1210</v>
      </c>
      <c r="B993" s="3">
        <v>46227</v>
      </c>
      <c r="C993" t="s">
        <v>101</v>
      </c>
      <c r="D993" t="s">
        <v>72</v>
      </c>
      <c r="E993" t="s">
        <v>85</v>
      </c>
      <c r="F993" t="s">
        <v>18</v>
      </c>
      <c r="G993">
        <v>2</v>
      </c>
      <c r="H993" s="4">
        <v>2.12</v>
      </c>
      <c r="I993" t="s">
        <v>30</v>
      </c>
      <c r="J993">
        <v>7</v>
      </c>
      <c r="K993">
        <v>0</v>
      </c>
      <c r="L993">
        <v>6</v>
      </c>
      <c r="M993" s="5">
        <v>1.1000000000000001</v>
      </c>
      <c r="N993" s="4">
        <f t="shared" si="15"/>
        <v>4.24</v>
      </c>
      <c r="O993">
        <f>HOUR(TIMEVALUE(RetailTransactions[[#This Row],[Time]]))</f>
        <v>14</v>
      </c>
    </row>
    <row r="994" spans="1:15">
      <c r="A994" t="s">
        <v>1211</v>
      </c>
      <c r="B994" s="3">
        <v>46203</v>
      </c>
      <c r="C994" t="s">
        <v>409</v>
      </c>
      <c r="D994" t="s">
        <v>22</v>
      </c>
      <c r="E994" t="s">
        <v>17</v>
      </c>
      <c r="F994" t="s">
        <v>18</v>
      </c>
      <c r="G994">
        <v>4</v>
      </c>
      <c r="H994" s="4">
        <v>1.75</v>
      </c>
      <c r="I994" t="s">
        <v>19</v>
      </c>
      <c r="J994">
        <v>46</v>
      </c>
      <c r="K994">
        <v>0</v>
      </c>
      <c r="L994">
        <v>7</v>
      </c>
      <c r="M994" s="5">
        <v>1.3</v>
      </c>
      <c r="N994" s="4">
        <f t="shared" si="15"/>
        <v>7</v>
      </c>
      <c r="O994">
        <f>HOUR(TIMEVALUE(RetailTransactions[[#This Row],[Time]]))</f>
        <v>21</v>
      </c>
    </row>
    <row r="995" spans="1:15">
      <c r="A995" t="s">
        <v>1212</v>
      </c>
      <c r="B995" s="3">
        <v>46192</v>
      </c>
      <c r="C995" t="s">
        <v>207</v>
      </c>
      <c r="D995" t="s">
        <v>72</v>
      </c>
      <c r="E995" t="s">
        <v>42</v>
      </c>
      <c r="F995" t="s">
        <v>43</v>
      </c>
      <c r="G995">
        <v>1</v>
      </c>
      <c r="H995" s="4">
        <v>1.18</v>
      </c>
      <c r="I995" t="s">
        <v>30</v>
      </c>
      <c r="J995">
        <v>25</v>
      </c>
      <c r="K995">
        <v>2</v>
      </c>
      <c r="L995">
        <v>6</v>
      </c>
      <c r="M995" s="5">
        <v>2.4</v>
      </c>
      <c r="N995" s="4">
        <f t="shared" si="15"/>
        <v>1.18</v>
      </c>
      <c r="O995">
        <f>HOUR(TIMEVALUE(RetailTransactions[[#This Row],[Time]]))</f>
        <v>16</v>
      </c>
    </row>
    <row r="996" spans="1:15">
      <c r="A996" t="s">
        <v>1213</v>
      </c>
      <c r="B996" s="3">
        <v>46188</v>
      </c>
      <c r="C996" t="s">
        <v>170</v>
      </c>
      <c r="D996" t="s">
        <v>33</v>
      </c>
      <c r="E996" t="s">
        <v>17</v>
      </c>
      <c r="F996" t="s">
        <v>18</v>
      </c>
      <c r="G996">
        <v>1</v>
      </c>
      <c r="H996" s="4">
        <v>1.75</v>
      </c>
      <c r="I996" t="s">
        <v>19</v>
      </c>
      <c r="J996">
        <v>23</v>
      </c>
      <c r="K996">
        <v>0</v>
      </c>
      <c r="L996">
        <v>8</v>
      </c>
      <c r="M996" s="5">
        <v>5.2</v>
      </c>
      <c r="N996" s="4">
        <f t="shared" si="15"/>
        <v>1.75</v>
      </c>
      <c r="O996">
        <f>HOUR(TIMEVALUE(RetailTransactions[[#This Row],[Time]]))</f>
        <v>13</v>
      </c>
    </row>
    <row r="997" spans="1:15">
      <c r="A997" t="s">
        <v>1214</v>
      </c>
      <c r="B997" s="3">
        <v>46190</v>
      </c>
      <c r="C997" t="s">
        <v>26</v>
      </c>
      <c r="D997" t="s">
        <v>16</v>
      </c>
      <c r="E997" t="s">
        <v>106</v>
      </c>
      <c r="F997" t="s">
        <v>18</v>
      </c>
      <c r="G997">
        <v>3</v>
      </c>
      <c r="H997" s="4">
        <v>1.89</v>
      </c>
      <c r="I997" t="s">
        <v>19</v>
      </c>
      <c r="J997">
        <v>22</v>
      </c>
      <c r="K997">
        <v>0</v>
      </c>
      <c r="L997">
        <v>8</v>
      </c>
      <c r="M997" s="5">
        <v>5.5</v>
      </c>
      <c r="N997" s="4">
        <f t="shared" si="15"/>
        <v>5.67</v>
      </c>
      <c r="O997">
        <f>HOUR(TIMEVALUE(RetailTransactions[[#This Row],[Time]]))</f>
        <v>13</v>
      </c>
    </row>
    <row r="998" spans="1:15">
      <c r="A998" t="s">
        <v>1215</v>
      </c>
      <c r="B998" s="3">
        <v>46196</v>
      </c>
      <c r="C998" t="s">
        <v>247</v>
      </c>
      <c r="D998" t="s">
        <v>22</v>
      </c>
      <c r="E998" t="s">
        <v>63</v>
      </c>
      <c r="F998" t="s">
        <v>50</v>
      </c>
      <c r="G998">
        <v>1</v>
      </c>
      <c r="H998" s="4">
        <v>3.49</v>
      </c>
      <c r="I998" t="s">
        <v>19</v>
      </c>
      <c r="J998">
        <v>18</v>
      </c>
      <c r="K998">
        <v>0</v>
      </c>
      <c r="L998">
        <v>6</v>
      </c>
      <c r="M998" s="5">
        <v>3.3</v>
      </c>
      <c r="N998" s="4">
        <f t="shared" si="15"/>
        <v>3.49</v>
      </c>
      <c r="O998">
        <f>HOUR(TIMEVALUE(RetailTransactions[[#This Row],[Time]]))</f>
        <v>17</v>
      </c>
    </row>
    <row r="999" spans="1:15">
      <c r="A999" t="s">
        <v>1216</v>
      </c>
      <c r="B999" s="3">
        <v>46242</v>
      </c>
      <c r="C999" t="s">
        <v>117</v>
      </c>
      <c r="D999" t="s">
        <v>66</v>
      </c>
      <c r="E999" t="s">
        <v>85</v>
      </c>
      <c r="F999" t="s">
        <v>18</v>
      </c>
      <c r="G999">
        <v>1</v>
      </c>
      <c r="H999" s="4">
        <v>2.4900000000000002</v>
      </c>
      <c r="I999" t="s">
        <v>19</v>
      </c>
      <c r="J999">
        <v>24</v>
      </c>
      <c r="K999">
        <v>1</v>
      </c>
      <c r="L999">
        <v>6</v>
      </c>
      <c r="M999" s="5">
        <v>5.0999999999999996</v>
      </c>
      <c r="N999" s="4">
        <f t="shared" si="15"/>
        <v>2.4900000000000002</v>
      </c>
      <c r="O999">
        <f>HOUR(TIMEVALUE(RetailTransactions[[#This Row],[Time]]))</f>
        <v>18</v>
      </c>
    </row>
    <row r="1000" spans="1:15">
      <c r="A1000" t="s">
        <v>1217</v>
      </c>
      <c r="B1000" s="3">
        <v>46245</v>
      </c>
      <c r="C1000" t="s">
        <v>275</v>
      </c>
      <c r="D1000" t="s">
        <v>22</v>
      </c>
      <c r="E1000" t="s">
        <v>57</v>
      </c>
      <c r="F1000" t="s">
        <v>43</v>
      </c>
      <c r="G1000">
        <v>1</v>
      </c>
      <c r="H1000" s="4">
        <v>1.69</v>
      </c>
      <c r="I1000" t="s">
        <v>19</v>
      </c>
      <c r="J1000">
        <v>3</v>
      </c>
      <c r="K1000">
        <v>0</v>
      </c>
      <c r="L1000">
        <v>4</v>
      </c>
      <c r="M1000" s="5">
        <v>3</v>
      </c>
      <c r="N1000" s="4">
        <f t="shared" si="15"/>
        <v>1.69</v>
      </c>
      <c r="O1000">
        <f>HOUR(TIMEVALUE(RetailTransactions[[#This Row],[Time]]))</f>
        <v>14</v>
      </c>
    </row>
    <row r="1001" spans="1:15">
      <c r="A1001" t="s">
        <v>1218</v>
      </c>
      <c r="B1001" s="3">
        <v>46239</v>
      </c>
      <c r="C1001" t="s">
        <v>1219</v>
      </c>
      <c r="D1001" t="s">
        <v>16</v>
      </c>
      <c r="E1001" t="s">
        <v>125</v>
      </c>
      <c r="F1001" t="s">
        <v>39</v>
      </c>
      <c r="G1001">
        <v>3</v>
      </c>
      <c r="H1001" s="4">
        <v>1.85</v>
      </c>
      <c r="I1001" t="s">
        <v>19</v>
      </c>
      <c r="J1001">
        <v>31</v>
      </c>
      <c r="K1001">
        <v>0</v>
      </c>
      <c r="L1001">
        <v>7</v>
      </c>
      <c r="M1001" s="5">
        <v>1.4</v>
      </c>
      <c r="N1001" s="4">
        <f t="shared" si="15"/>
        <v>5.5500000000000007</v>
      </c>
      <c r="O1001">
        <f>HOUR(TIMEVALUE(RetailTransactions[[#This Row],[Time]]))</f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"/>
  <cols>
    <col min="1" max="1" width="23" customWidth="1"/>
    <col min="2" max="2" width="65" customWidth="1"/>
  </cols>
  <sheetData>
    <row r="1" spans="1:2">
      <c r="A1" s="1" t="s">
        <v>1220</v>
      </c>
      <c r="B1" s="1" t="s">
        <v>1221</v>
      </c>
    </row>
    <row r="2" spans="1:2">
      <c r="A2" t="s">
        <v>0</v>
      </c>
      <c r="B2" s="6" t="s">
        <v>1222</v>
      </c>
    </row>
    <row r="3" spans="1:2">
      <c r="A3" t="s">
        <v>1</v>
      </c>
      <c r="B3" s="6" t="s">
        <v>1223</v>
      </c>
    </row>
    <row r="4" spans="1:2">
      <c r="A4" t="s">
        <v>2</v>
      </c>
      <c r="B4" s="6" t="s">
        <v>1224</v>
      </c>
    </row>
    <row r="5" spans="1:2">
      <c r="A5" t="s">
        <v>3</v>
      </c>
      <c r="B5" s="6" t="s">
        <v>1225</v>
      </c>
    </row>
    <row r="6" spans="1:2">
      <c r="A6" t="s">
        <v>4</v>
      </c>
      <c r="B6" s="6" t="s">
        <v>1226</v>
      </c>
    </row>
    <row r="7" spans="1:2">
      <c r="A7" t="s">
        <v>5</v>
      </c>
      <c r="B7" s="6" t="s">
        <v>1227</v>
      </c>
    </row>
    <row r="8" spans="1:2">
      <c r="A8" t="s">
        <v>6</v>
      </c>
      <c r="B8" s="6" t="s">
        <v>1228</v>
      </c>
    </row>
    <row r="9" spans="1:2">
      <c r="A9" t="s">
        <v>7</v>
      </c>
      <c r="B9" s="6" t="s">
        <v>1229</v>
      </c>
    </row>
    <row r="10" spans="1:2">
      <c r="A10" t="s">
        <v>8</v>
      </c>
      <c r="B10" s="6" t="s">
        <v>1230</v>
      </c>
    </row>
    <row r="11" spans="1:2">
      <c r="A11" t="s">
        <v>9</v>
      </c>
      <c r="B11" s="6" t="s">
        <v>1231</v>
      </c>
    </row>
    <row r="12" spans="1:2">
      <c r="A12" t="s">
        <v>10</v>
      </c>
      <c r="B12" s="6" t="s">
        <v>1232</v>
      </c>
    </row>
    <row r="13" spans="1:2">
      <c r="A13" t="s">
        <v>11</v>
      </c>
      <c r="B13" s="6" t="s">
        <v>1233</v>
      </c>
    </row>
    <row r="14" spans="1:2">
      <c r="A14" t="s">
        <v>12</v>
      </c>
      <c r="B14" s="6" t="s">
        <v>1234</v>
      </c>
    </row>
    <row r="15" spans="1:2">
      <c r="A15" t="s">
        <v>13</v>
      </c>
      <c r="B15" s="6" t="s">
        <v>1235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"/>
  <cols>
    <col min="1" max="1" width="8" customWidth="1"/>
    <col min="2" max="2" width="75" customWidth="1"/>
  </cols>
  <sheetData>
    <row r="1" spans="1:2" ht="18">
      <c r="A1" s="9" t="s">
        <v>1236</v>
      </c>
      <c r="B1" s="10"/>
    </row>
    <row r="2" spans="1:2">
      <c r="A2" t="s">
        <v>1237</v>
      </c>
      <c r="B2" s="6" t="s">
        <v>1238</v>
      </c>
    </row>
    <row r="3" spans="1:2">
      <c r="A3" t="s">
        <v>1239</v>
      </c>
      <c r="B3" s="6" t="s">
        <v>1240</v>
      </c>
    </row>
    <row r="4" spans="1:2">
      <c r="A4" t="s">
        <v>1241</v>
      </c>
      <c r="B4" s="6" t="s">
        <v>1242</v>
      </c>
    </row>
    <row r="5" spans="1:2">
      <c r="A5" t="s">
        <v>1243</v>
      </c>
      <c r="B5" s="6" t="s">
        <v>1244</v>
      </c>
    </row>
    <row r="6" spans="1:2">
      <c r="A6" t="s">
        <v>1245</v>
      </c>
      <c r="B6" s="6" t="s">
        <v>1246</v>
      </c>
    </row>
    <row r="7" spans="1:2">
      <c r="A7" t="s">
        <v>1247</v>
      </c>
      <c r="B7" s="6" t="s">
        <v>1248</v>
      </c>
    </row>
    <row r="8" spans="1:2">
      <c r="A8" t="s">
        <v>1249</v>
      </c>
      <c r="B8" s="6" t="s">
        <v>1250</v>
      </c>
    </row>
    <row r="9" spans="1:2">
      <c r="A9" t="s">
        <v>1251</v>
      </c>
      <c r="B9" s="6" t="s">
        <v>1252</v>
      </c>
    </row>
    <row r="10" spans="1:2">
      <c r="A10" t="s">
        <v>1253</v>
      </c>
      <c r="B10" s="6" t="s">
        <v>1254</v>
      </c>
    </row>
    <row r="11" spans="1:2">
      <c r="A11" t="s">
        <v>1255</v>
      </c>
      <c r="B11" s="6" t="s">
        <v>1256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Detail1</vt:lpstr>
      <vt:lpstr>Sheet3</vt:lpstr>
      <vt:lpstr>Sheet2</vt:lpstr>
      <vt:lpstr>Sheet1</vt:lpstr>
      <vt:lpstr>Retail Data</vt:lpstr>
      <vt:lpstr>Data Dictionary</vt:lpstr>
      <vt:lpstr>Business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Arifa Khaleeq (Student)</cp:lastModifiedBy>
  <dcterms:modified xsi:type="dcterms:W3CDTF">2026-09-11T13:49:35Z</dcterms:modified>
</cp:coreProperties>
</file>